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2416ddbac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f71d0e7aea74ec5"/>
  </x:sheets>
</x:workbook>
</file>

<file path=xl/sharedStrings.xml><?xml version="1.0" encoding="utf-8"?>
<x:sst xmlns:x="http://schemas.openxmlformats.org/spreadsheetml/2006/main">
  <x:si>
    <x:t xml:space="preserve">Entregable</x:t>
  </x:si>
  <x:si>
    <x:t xml:space="preserve">Tipo de Entregable</x:t>
  </x:si>
  <x:si>
    <x:t xml:space="preserve">Semana del Entregable</x:t>
  </x:si>
  <x:si>
    <x:t xml:space="preserve">Tareas para implementar la Infraestructura de la red</x:t>
  </x:si>
  <x:si>
    <x:t xml:space="preserve">Puntos por Tarea</x:t>
  </x:si>
  <x:si>
    <x:r>
      <x:rPr>
        <x:b/>
        <x:sz val="1400"/>
        <x:color rgb="FF000000"/>
        <x:rFont val="Calibri"/>
        <x:family val="2"/>
        <x:scheme val="minor"/>
      </x:rPr>
      <x:t xml:space="preserve">Entregable 1:
</x:t>
    </x:r>
    <x:r>
      <x:rPr>
        <x:sz val="1400"/>
        <x:color rgb="FF000000"/>
        <x:rFont val="Calibri"/>
        <x:family val="2"/>
        <x:scheme val="minor"/>
      </x:rPr>
      <x:t xml:space="preserve">1. 1 Archivo en CPT
a. Topología física de la red 
1.2 Tabla en Excel con el esquema de direccionamiento calculado</x:t>
    </x:r>
  </x:si>
  <x:si>
    <x:t xml:space="preserve">Entregable 1</x:t>
  </x:si>
  <x:si>
    <x:t xml:space="preserve">SEMANA 4
Sabado  19 de setiembre a las 11:59 pm</x:t>
  </x:si>
  <x:si>
    <x:t xml:space="preserve">DISEÑO FISICO DE LA RED (Usando Packet Tracer)
Realiza el diseño físico de la red de acuerdo a los requisitos de red del caso estudio:</x:t>
  </x:si>
  <x:si>
    <x:t xml:space="preserve">Subred</x:t>
  </x:si>
  <x:si>
    <x:t xml:space="preserve">1er octeto</x:t>
  </x:si>
  <x:si>
    <x:t xml:space="preserve">2do Octeto</x:t>
  </x:si>
  <x:si>
    <x:t xml:space="preserve">3er Octeto</x:t>
  </x:si>
  <x:si>
    <x:t xml:space="preserve">4to Octeto</x:t>
  </x:si>
  <x:si>
    <x:t xml:space="preserve">ID de RED (Direcion de Red)</x:t>
  </x:si>
  <x:si>
    <x:t xml:space="preserve">Mascara de sub red
Longitud del prefijo (LP)</x:t>
  </x:si>
  <x:si>
    <x:t xml:space="preserve">Nombre de Pais</x:t>
  </x:si>
  <x:si>
    <x:r>
      <x:rPr>
        <x:sz val="1400"/>
        <x:color rgb="FF000000"/>
      </x:rPr>
      <x:t xml:space="preserve">° Nombra los dispositivos finales e intermedios de la red</x:t>
    </x:r>
    <x:r>
      <x:rPr>
        <x:b/>
        <x:sz val="1400"/>
        <x:color rgb="FF000000"/>
        <x:rFont val="Calibri"/>
        <x:family val="2"/>
        <x:scheme val="minor"/>
      </x:rPr>
      <x:t xml:space="preserve"> (Minimo 2 PCs por cada area y 4 servidores en cada sucursal)</x:t>
    </x:r>
  </x:si>
  <x:si>
    <x:r>
      <x:rPr>
        <x:sz val="1400"/>
        <x:color rgb="FF000000"/>
      </x:rPr>
      <x:t xml:space="preserve">° Selecciona los dispositivos finales e intermediarios (Switches, Routers, Access Point, Firewall, etc.) </x:t>
    </x:r>
    <x:r>
      <x:rPr>
        <x:b/>
        <x:sz val="1400"/>
        <x:color rgb="FF000000"/>
        <x:rFont val="Calibri"/>
        <x:family val="2"/>
        <x:scheme val="minor"/>
      </x:rPr>
      <x:t xml:space="preserve">Ver referencia en el caso</x:t>
    </x:r>
  </x:si>
  <x:si>
    <x:t xml:space="preserve">° Interconecta los dispositivos de la red, seleccionando correctamente los tipos de redes LAN, WAN y WLAN</x:t>
  </x:si>
  <x:si>
    <x:t xml:space="preserve">° Interconecta los dispositivos de la red, utilizando para ello los tipos de medios cableados correcto, asi como tambien los access point para WIFI.</x:t>
  </x:si>
  <x:si>
    <x:t xml:space="preserve">DISEÑO LOGICO DE LA RED</x:t>
  </x:si>
  <x:si>
    <x:r>
      <x:rPr>
        <x:sz val="1400"/>
        <x:color rgb="FF000000"/>
      </x:rPr>
      <x:t xml:space="preserve">° Realiza el esquema de direccionamiento IPv4 de acuerdo a las necesidades de segmentación de la red de la empresa y sus sucursales. (</x:t>
    </x:r>
    <x:r>
      <x:rPr>
        <x:b/>
        <x:sz val="1400"/>
        <x:color rgb="FF000000"/>
        <x:rFont val="Calibri"/>
        <x:family val="2"/>
        <x:scheme val="minor"/>
      </x:rPr>
      <x:t xml:space="preserve">FLSM Tablas 1 y Tabla 2)</x:t>
    </x:r>
  </x:si>
  <x:si>
    <x:r>
      <x:rPr>
        <x:sz val="1400"/>
        <x:color rgb="FF000000"/>
      </x:rPr>
      <x:t xml:space="preserve">° Realiza el diseño lógico de la red (Subnetting y VLSM) y documenta la topología de la red, de todas las sucursales. </x:t>
    </x:r>
    <x:r>
      <x:rPr>
        <x:b/>
        <x:sz val="1400"/>
        <x:color rgb="FF000000"/>
        <x:rFont val="Calibri"/>
        <x:family val="2"/>
        <x:scheme val="minor"/>
      </x:rPr>
      <x:t xml:space="preserve">(Tabla 3 para Lima y tabla 4 para cada sucursal.)</x:t>
    </x:r>
  </x:si>
  <x:si>
    <x:r>
      <x:rPr>
        <x:b/>
        <x:sz val="1400"/>
        <x:color rgb="FF000000"/>
        <x:rFont val="Calibri"/>
        <x:family val="2"/>
        <x:scheme val="minor"/>
      </x:rPr>
      <x:t xml:space="preserve">Entregable 2:
</x:t>
    </x:r>
    <x:r>
      <x:rPr>
        <x:sz val="1400"/>
        <x:color rgb="FF000000"/>
        <x:rFont val="Calibri"/>
        <x:family val="2"/>
        <x:scheme val="minor"/>
      </x:rPr>
      <x:t xml:space="preserve">1. 1 Archivo en CPT
a. Topología física y lógica de la red configurada
1.2 Tabla en Excel con el esquema de direccionamiento calculado
1.3 Informe Trabajo Parcial (Avance)</x:t>
    </x:r>
  </x:si>
  <x:si>
    <x:t xml:space="preserve">Entregable 2</x:t>
  </x:si>
  <x:si>
    <x:t xml:space="preserve">SEMANA 6
Sabado 3 de OCtubre a las 23:59pm</x:t>
  </x:si>
  <x:si>
    <x:t xml:space="preserve">DIRECCIONAMIENTO IP</x:t>
  </x:si>
  <x:si>
    <x:t xml:space="preserve">° Configurar las Ips en los dispositivos finales (hosts) y las IPs de las interfaces de los Routers.</x:t>
  </x:si>
  <x:si>
    <x:t xml:space="preserve">° Prueba la conectividad entre dispositivos finales que pertenecen a la misma Red</x:t>
  </x:si>
  <x:si>
    <x:t xml:space="preserve">CONMUTACIÓN LAN</x:t>
  </x:si>
  <x:si>
    <x:t xml:space="preserve">Nombre de Sucursal</x:t>
  </x:si>
  <x:si>
    <x:t xml:space="preserve">° Realiza la configuración básica en los dispositivos de conmutación LAN </x:t>
  </x:si>
  <x:si>
    <x:t xml:space="preserve">° Configurar los equipos de LAN usando VLANs, de acuerdo a las redes diseñadas para cada local y servicio.</x:t>
  </x:si>
  <x:si>
    <x:t xml:space="preserve">° Configurar los enlaces troncales en los switches.</x:t>
  </x:si>
  <x:si>
    <x:t xml:space="preserve">° Prueba la conectividad entre dispositivos finales que pertenecen a la misma red (VLAN)</x:t>
  </x:si>
  <x:si>
    <x:t xml:space="preserve">INTERVLAN ROUTING</x:t>
  </x:si>
  <x:si>
    <x:r>
      <x:rPr>
        <x:sz val="1400"/>
        <x:color rgb="FF000000"/>
      </x:rPr>
      <x:t xml:space="preserve">° Realizar la conectividad inter VLAN usando </x:t>
    </x:r>
    <x:r>
      <x:rPr>
        <x:b/>
        <x:sz val="1400"/>
        <x:color rgb="FF000000"/>
        <x:rFont val="Calibri"/>
        <x:family val="2"/>
        <x:scheme val="minor"/>
      </x:rPr>
      <x:t xml:space="preserve">switch capa 3 En Lima Y Router on stick en cada sucursal.</x:t>
    </x:r>
  </x:si>
  <x:si>
    <x:t xml:space="preserve">° Validar conectividad dentro de cada Sucursal entre Hosts de diferentes VLANs.</x:t>
  </x:si>
  <x:si>
    <x:t xml:space="preserve">Área</x:t>
  </x:si>
  <x:si>
    <x:t xml:space="preserve"># de Hosts</x:t>
  </x:si>
  <x:si>
    <x:t xml:space="preserve"># Hosts con 25% de crecimiento</x:t>
  </x:si>
  <x:si>
    <x:t xml:space="preserve">ID de red o Subred</x:t>
  </x:si>
  <x:si>
    <x:t xml:space="preserve">Mascara de subred /N</x:t>
  </x:si>
  <x:si>
    <x:t xml:space="preserve">Mascara de subred en decimal</x:t>
  </x:si>
  <x:si>
    <x:t xml:space="preserve">Gateway (1era IP)</x:t>
  </x:si>
  <x:si>
    <x:t xml:space="preserve">Ultima IP</x:t>
  </x:si>
  <x:si>
    <x:t xml:space="preserve">IP de Broadcast (ultima IP de la red)</x:t>
  </x:si>
  <x:si>
    <x:t xml:space="preserve">Área o LAN</x:t>
  </x:si>
  <x:si>
    <x:t xml:space="preserve"># de Hosts 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</x:si>
</x:sst>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6"/>
      <x:color rgb="FFFF0000"/>
      <x:name val="Calibri"/>
    </x:font>
    <x:font>
      <x:b/>
      <x:sz val="14"/>
      <x:color rgb="FFFF0000"/>
      <x:name val="Calibri"/>
    </x:font>
    <x:font>
      <x:b/>
      <x:sz val="11"/>
      <x:color theme="1"/>
      <x:name val="Calibri"/>
    </x:font>
    <x:font>
      <x:sz val="12"/>
      <x:color theme="1"/>
      <x:name val="Calibri"/>
    </x:font>
    <x:font>
      <x:b/>
      <x:sz val="14"/>
      <x:color rgb="FF00B050"/>
      <x:name val="Calibri"/>
    </x:font>
    <x:font>
      <x:b/>
      <x:sz val="12"/>
      <x:color rgb="FFFF0000"/>
      <x:name val="Calibri"/>
    </x:font>
    <x:font>
      <x:b/>
      <x:sz val="12"/>
      <x:color theme="1"/>
      <x:name val="Calibri"/>
    </x:font>
    <x:font>
      <x:sz val="10"/>
      <x:color theme="1"/>
      <x:name val="Calibri"/>
    </x:font>
    <x:font>
      <x:b/>
      <x:sz val="20"/>
      <x:color rgb="FF0070C0"/>
      <x:name val="Calibri"/>
    </x:font>
    <x:font>
      <x:b/>
      <x:sz val="20"/>
      <x:color theme="4" tint="-0.24998"/>
      <x:name val="Calibri"/>
    </x:font>
    <x:font>
      <x:sz val="14"/>
      <x:color theme="1"/>
      <x:name val="Calibri"/>
    </x:font>
    <x:font>
      <x:b/>
      <x:sz val="14"/>
      <x:color theme="0"/>
      <x:name val="Calibri"/>
    </x:font>
    <x:font>
      <x:b/>
      <x:sz val="14"/>
      <x:color theme="1"/>
      <x:name val="Calibri"/>
    </x:font>
    <x:font>
      <x:b/>
      <x:sz val="10"/>
      <x:color theme="1"/>
      <x:name val="Calibri"/>
    </x:font>
    <x:font>
      <x:sz val="8"/>
      <x:name val="Calibri"/>
    </x:font>
    <x:font>
      <x:sz val="16"/>
      <x:color theme="1"/>
      <x:name val="Calibri"/>
    </x:font>
    <x:font>
      <x:b/>
      <x:sz val="12"/>
      <x:color theme="0"/>
      <x:name val="Calibri"/>
    </x:font>
    <x:font>
      <x:b/>
      <x:sz val="11"/>
      <x:color theme="1"/>
      <x:name val="Calibri"/>
    </x:font>
    <x:font>
      <x:b/>
      <x:sz val="22"/>
      <x:color rgb="FF003A83"/>
      <x:name val="Calibri"/>
    </x:font>
    <x:font>
      <x:b/>
      <x:sz val="10"/>
      <x:color rgb="FF007BB8"/>
      <x:name val="Calibri"/>
    </x:font>
    <x:font>
      <x:b/>
      <x:sz val="10"/>
      <x:color rgb="FFC00000"/>
      <x:name val="Calibri"/>
    </x:font>
    <x:font>
      <x:b/>
      <x:sz val="10"/>
      <x:color rgb="FF0075B2"/>
      <x:name val="Calibri"/>
    </x:font>
    <x:font>
      <x:b/>
      <x:sz val="10"/>
      <x:color rgb="FF23E568"/>
      <x:name val="Calibri"/>
    </x:font>
    <x:font>
      <x:b/>
      <x:sz val="20"/>
      <x:color rgb="FF0062B1"/>
      <x:name val="Calibri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6"/>
      <x:color theme="1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b/>
      <x:sz val="16"/>
      <x:color rgb="FF0070C0"/>
      <x:name val="Calibri"/>
    </x:font>
    <x:font>
      <x:sz val="16"/>
      <x:color theme="1"/>
      <x:name val="Calibri"/>
    </x:font>
    <x:font>
      <x:b/>
      <x:sz val="16"/>
      <x:color rgb="FFFF0000"/>
      <x:name val="Calibri"/>
    </x:font>
    <x:font>
      <x:b/>
      <x:sz val="16"/>
      <x:color rgb="FF000000"/>
      <x:name val="Calibri"/>
    </x:font>
    <x:font>
      <x:sz val="16"/>
      <x:color rgb="FF000000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theme="1" tint="0.49998"/>
      </x:patternFill>
    </x:fill>
    <x:fill>
      <x:patternFill patternType="solid">
        <x:fgColor theme="7" tint="0.79998"/>
      </x:patternFill>
    </x:fill>
    <x:fill>
      <x:patternFill patternType="solid">
        <x:fgColor theme="7" tint="0.39998"/>
      </x:patternFill>
    </x:fill>
    <x:fill>
      <x:patternFill patternType="solid">
        <x:fgColor rgb="FFB4C6E7"/>
      </x:patternFill>
    </x:fill>
    <x:fill>
      <x:patternFill patternType="solid">
        <x:fgColor rgb="FFD9EAD3"/>
      </x:patternFill>
    </x:fill>
    <x:fill>
      <x:patternFill patternType="solid">
        <x:fgColor rgb="FFFEF2CB"/>
      </x:patternFill>
    </x:fill>
    <x:fill>
      <x:patternFill patternType="solid">
        <x:fgColor theme="4" tint="0.79998"/>
      </x:patternFill>
    </x:fill>
    <x:fill>
      <x:patternFill patternType="solid">
        <x:fgColor theme="4" tint="0.79998"/>
      </x:patternFill>
    </x:fill>
    <x:fill>
      <x:patternFill patternType="solid">
        <x:fgColor rgb="FFCFE2F3"/>
      </x:patternFill>
    </x:fill>
    <x:fill>
      <x:patternFill patternType="solid">
        <x:fgColor rgb="FFD9D9D9"/>
      </x:patternFill>
    </x:fill>
    <x:fill>
      <x:patternFill patternType="solid">
        <x:fgColor theme="0"/>
      </x:patternFill>
    </x:fill>
    <x:fill>
      <x:patternFill patternType="solid">
        <x:fgColor theme="3" tint="0.59999"/>
      </x:patternFill>
    </x:fill>
    <x:fill>
      <x:patternFill patternType="solid">
        <x:fgColor rgb="FFFEFDD3"/>
      </x:patternFill>
    </x:fill>
    <x:fill>
      <x:patternFill patternType="solid">
        <x:fgColor rgb="FFFEFDD3"/>
      </x:patternFill>
    </x:fill>
    <x:fill>
      <x:patternFill patternType="solid">
        <x:fgColor theme="0"/>
      </x:patternFill>
    </x:fill>
    <x:fill>
      <x:patternFill patternType="solid">
        <x:fgColor rgb="FF92D050"/>
      </x:patternFill>
    </x:fill>
    <x:fill>
      <x:patternFill patternType="solid">
        <x:fgColor rgb="FF92D050"/>
      </x:patternFill>
    </x:fill>
    <x:fill>
      <x:patternFill patternType="solid">
        <x:fgColor rgb="FFFEF2CB"/>
      </x:patternFill>
    </x:fill>
    <x:fill>
      <x:patternFill patternType="solid">
        <x:fgColor rgb="FFD9EAD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wrapText="1"/>
    </x:xf>
    <x:xf numFmtId="0" fontId="3" fillId="8" borderId="1" xfId="0" applyFont="1" applyFill="1" applyBorder="1" applyAlignment="1">
      <x:alignment horizontal="center"/>
    </x:xf>
    <x:xf numFmtId="0" fontId="4" fillId="9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0" xfId="0" applyAlignment="1">
      <x:alignment horizontal="center"/>
    </x:xf>
    <x:xf numFmtId="0" fontId="11" fillId="0" borderId="0" xfId="0" applyFont="1"/>
    <x:xf numFmtId="0" fontId="12" fillId="2" borderId="1" xfId="0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 wrapText="1"/>
    </x:xf>
    <x:xf numFmtId="0" fontId="11" fillId="0" borderId="2" xfId="0" applyFont="1" applyBorder="1"/>
    <x:xf numFmtId="0" fontId="11" fillId="3" borderId="1" xfId="0" applyFont="1" applyFill="1" applyBorder="1" applyAlignment="1">
      <x:alignment horizontal="center" vertical="center"/>
    </x:xf>
    <x:xf numFmtId="0" fontId="13" fillId="3" borderId="1" xfId="0" applyFont="1" applyFill="1" applyBorder="1" applyAlignment="1">
      <x:alignment vertical="center" wrapText="1"/>
    </x:xf>
    <x:xf numFmtId="0" fontId="11" fillId="3" borderId="1" xfId="0" applyFont="1" applyFill="1" applyBorder="1" applyAlignment="1">
      <x:alignment vertical="center" wrapText="1"/>
    </x:xf>
    <x:xf numFmtId="0" fontId="11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vertical="center" wrapText="1"/>
    </x:xf>
    <x:xf numFmtId="0" fontId="11" fillId="4" borderId="1" xfId="0" applyFont="1" applyFill="1" applyBorder="1" applyAlignment="1">
      <x:alignment vertical="center" wrapText="1"/>
    </x:xf>
    <x:xf numFmtId="0" fontId="14" fillId="12" borderId="0" xfId="0" applyFont="1" applyFill="1" applyAlignment="1">
      <x:alignment horizontal="center" vertical="center"/>
    </x:xf>
    <x:xf numFmtId="0" fontId="8" fillId="12" borderId="0" xfId="0" applyFont="1" applyFill="1" applyAlignment="1">
      <x:alignment wrapText="1"/>
    </x:xf>
    <x:xf numFmtId="0" fontId="8" fillId="12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11" borderId="11" xfId="0" applyFont="1" applyFill="1" applyBorder="1" applyAlignment="1">
      <x:alignment horizontal="center" vertical="center"/>
    </x:xf>
    <x:xf numFmtId="0" fontId="8" fillId="11" borderId="9" xfId="0" applyFont="1" applyFill="1" applyBorder="1" applyAlignment="1">
      <x:alignment horizontal="center" vertical="center"/>
    </x:xf>
    <x:xf numFmtId="0" fontId="8" fillId="11" borderId="10" xfId="0" applyFont="1" applyFill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0" borderId="16" xfId="0" applyFont="1" applyBorder="1"/>
    <x:xf numFmtId="0" fontId="20" fillId="0" borderId="11" xfId="0" applyFont="1" applyBorder="1" applyAlignment="1">
      <x:alignment horizontal="center" vertical="center"/>
    </x:xf>
    <x:xf numFmtId="0" fontId="18" fillId="13" borderId="1" xfId="0" applyFont="1" applyFill="1" applyBorder="1" applyAlignment="1">
      <x:alignment horizontal="center" vertical="center"/>
    </x:xf>
    <x:xf numFmtId="0" fontId="18" fillId="1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20" fillId="0" borderId="1" xfId="0" applyFont="1" applyBorder="1" applyAlignment="1">
      <x:alignment horizontal="center" vertical="center"/>
    </x:xf>
    <x:xf numFmtId="0" fontId="8" fillId="11" borderId="1" xfId="0" applyFont="1" applyFill="1" applyBorder="1" applyAlignment="1">
      <x:alignment horizontal="center" vertical="center"/>
    </x:xf>
    <x:xf numFmtId="0" fontId="14" fillId="12" borderId="1" xfId="0" applyFont="1" applyFill="1" applyBorder="1" applyAlignment="1">
      <x:alignment horizontal="center" vertical="center"/>
    </x:xf>
    <x:xf numFmtId="0" fontId="20" fillId="12" borderId="1" xfId="0" applyFont="1" applyFill="1" applyBorder="1" applyAlignment="1">
      <x:alignment horizontal="center" vertical="center"/>
    </x:xf>
    <x:xf numFmtId="0" fontId="14" fillId="14" borderId="9" xfId="0" applyFont="1" applyFill="1" applyBorder="1" applyAlignment="1">
      <x:alignment horizontal="center" vertical="center"/>
    </x:xf>
    <x:xf numFmtId="0" fontId="14" fillId="15" borderId="11" xfId="0" applyFont="1" applyFill="1" applyBorder="1" applyAlignment="1">
      <x:alignment horizontal="center" vertical="center"/>
    </x:xf>
    <x:xf numFmtId="0" fontId="20" fillId="15" borderId="11" xfId="0" applyFont="1" applyFill="1" applyBorder="1" applyAlignment="1">
      <x:alignment horizontal="center" vertical="center"/>
    </x:xf>
    <x:xf numFmtId="0" fontId="20" fillId="14" borderId="9" xfId="0" applyFont="1" applyFill="1" applyBorder="1" applyAlignment="1">
      <x:alignment horizontal="center" vertical="center"/>
    </x:xf>
    <x:xf numFmtId="0" fontId="14" fillId="16" borderId="1" xfId="0" applyFont="1" applyFill="1" applyBorder="1" applyAlignment="1">
      <x:alignment horizontal="center" vertical="center"/>
    </x:xf>
    <x:xf numFmtId="0" fontId="8" fillId="12" borderId="1" xfId="0" applyFont="1" applyFill="1" applyBorder="1" applyAlignment="1">
      <x:alignment horizontal="center" vertical="center"/>
    </x:xf>
    <x:xf numFmtId="0" fontId="20" fillId="16" borderId="1" xfId="0" applyFont="1" applyFill="1" applyBorder="1" applyAlignment="1">
      <x:alignment horizontal="center" vertical="center"/>
    </x:xf>
    <x:xf numFmtId="0" fontId="4" fillId="12" borderId="1" xfId="0" applyFont="1" applyFill="1" applyBorder="1" applyAlignment="1">
      <x:alignment horizontal="center"/>
    </x:xf>
    <x:xf numFmtId="0" fontId="0" fillId="12" borderId="1" xfId="0" applyFill="1" applyBorder="1" applyAlignment="1">
      <x:alignment horizontal="center"/>
    </x:xf>
    <x:xf numFmtId="0" fontId="0" fillId="12" borderId="1" xfId="0" applyFill="1" applyBorder="1" applyAlignment="1">
      <x:alignment horizontal="center" wrapText="1"/>
    </x:xf>
    <x:xf numFmtId="1" fontId="4" fillId="18" borderId="1" xfId="0" applyNumberFormat="1" applyFont="1" applyFill="1" applyBorder="1" applyAlignment="1">
      <x:alignment horizontal="center"/>
    </x:xf>
    <x:xf numFmtId="1" fontId="4" fillId="17" borderId="1" xfId="0" applyNumberFormat="1" applyFont="1" applyFill="1" applyBorder="1" applyAlignment="1">
      <x:alignment horizontal="center"/>
    </x:xf>
    <x:xf numFmtId="0" fontId="17" fillId="12" borderId="0" xfId="0" applyFont="1" applyFill="1" applyAlignment="1">
      <x:alignment horizontal="center" vertical="center" wrapText="1"/>
    </x:xf>
    <x:xf numFmtId="0" fontId="0" fillId="12" borderId="0" xfId="0" applyFill="1"/>
    <x:xf numFmtId="0" fontId="0" fillId="12" borderId="0" xfId="0" applyFill="1" applyAlignment="1">
      <x:alignment horizontal="left"/>
    </x:xf>
    <x:xf numFmtId="0" fontId="16" fillId="12" borderId="0" xfId="0" applyFont="1" applyFill="1" applyAlignment="1">
      <x:alignment horizontal="left" vertical="center" wrapText="1"/>
    </x:xf>
    <x:xf numFmtId="0" fontId="5" fillId="12" borderId="17" xfId="0" applyFont="1" applyFill="1" applyBorder="1" applyAlignment="1">
      <x:alignment horizontal="center" vertical="center" wrapText="1"/>
    </x:xf>
    <x:xf numFmtId="0" fontId="5" fillId="12" borderId="0" xfId="0" applyFont="1" applyFill="1" applyAlignment="1">
      <x:alignment horizontal="center" vertical="center" wrapText="1"/>
    </x:xf>
    <x:xf numFmtId="0" fontId="7" fillId="5" borderId="0" xfId="0" applyFont="1" applyFill="1" applyAlignment="1">
      <x:alignment horizontal="center" vertical="top" wrapText="1"/>
    </x:xf>
    <x:xf numFmtId="0" fontId="8" fillId="10" borderId="6" xfId="0" applyFont="1" applyFill="1" applyBorder="1" applyAlignment="1">
      <x:alignment horizontal="center"/>
    </x:xf>
    <x:xf numFmtId="0" fontId="8" fillId="10" borderId="7" xfId="0" applyFont="1" applyFill="1" applyBorder="1" applyAlignment="1">
      <x:alignment horizontal="center"/>
    </x:xf>
    <x:xf numFmtId="0" fontId="8" fillId="10" borderId="8" xfId="0" applyFont="1" applyFill="1" applyBorder="1" applyAlignment="1">
      <x:alignment horizontal="center"/>
    </x:xf>
    <x:xf numFmtId="0" fontId="1" fillId="10" borderId="12" xfId="0" applyFont="1" applyFill="1" applyBorder="1" applyAlignment="1">
      <x:alignment horizontal="center"/>
    </x:xf>
    <x:xf numFmtId="0" fontId="1" fillId="10" borderId="13" xfId="0" applyFont="1" applyFill="1" applyBorder="1" applyAlignment="1">
      <x:alignment horizontal="center"/>
    </x:xf>
    <x:xf numFmtId="0" fontId="1" fillId="10" borderId="14" xfId="0" applyFont="1" applyFill="1" applyBorder="1" applyAlignment="1">
      <x:alignment horizontal="center"/>
    </x:xf>
    <x:xf numFmtId="0" fontId="11" fillId="3" borderId="3" xfId="0" applyFont="1" applyFill="1" applyBorder="1" applyAlignment="1">
      <x:alignment horizontal="left" vertical="center" wrapText="1"/>
    </x:xf>
    <x:xf numFmtId="0" fontId="11" fillId="3" borderId="4" xfId="0" applyFont="1" applyFill="1" applyBorder="1" applyAlignment="1">
      <x:alignment horizontal="left" vertical="center" wrapText="1"/>
    </x:xf>
    <x:xf numFmtId="0" fontId="11" fillId="3" borderId="2" xfId="0" applyFont="1" applyFill="1" applyBorder="1" applyAlignment="1">
      <x:alignment horizontal="left" vertical="center" wrapText="1"/>
    </x:xf>
    <x:xf numFmtId="0" fontId="11" fillId="4" borderId="4" xfId="0" applyFont="1" applyFill="1" applyBorder="1" applyAlignment="1">
      <x:alignment horizontal="left" vertical="center" wrapText="1"/>
    </x:xf>
    <x:xf numFmtId="0" fontId="11" fillId="4" borderId="4" xfId="0" applyFont="1" applyFill="1" applyBorder="1" applyAlignment="1">
      <x:alignment horizontal="left" vertical="center"/>
    </x:xf>
    <x:xf numFmtId="0" fontId="11" fillId="4" borderId="2" xfId="0" applyFont="1" applyFill="1" applyBorder="1" applyAlignment="1">
      <x:alignment horizontal="left" vertical="center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horizontal="center" vertical="center"/>
    </x:xf>
    <x:xf numFmtId="0" fontId="2" fillId="4" borderId="3" xfId="0" applyFont="1" applyFill="1" applyBorder="1" applyAlignment="1">
      <x:alignment horizontal="center" vertical="center" wrapText="1"/>
    </x:xf>
    <x:xf numFmtId="0" fontId="2" fillId="4" borderId="4" xfId="0" applyFont="1" applyFill="1" applyBorder="1" applyAlignment="1">
      <x:alignment horizontal="center" vertical="center"/>
    </x:xf>
    <x:xf numFmtId="0" fontId="2" fillId="4" borderId="2" xfId="0" applyFont="1" applyFill="1" applyBorder="1" applyAlignment="1">
      <x:alignment horizontal="center" vertical="center"/>
    </x:xf>
    <x:xf numFmtId="0" fontId="18" fillId="10" borderId="1" xfId="0" applyFont="1" applyFill="1" applyBorder="1" applyAlignment="1">
      <x:alignment horizontal="center"/>
    </x:xf>
    <x:xf numFmtId="0" fontId="12" fillId="12" borderId="0" xfId="0" applyFont="1" applyFill="1" applyBorder="1" applyAlignment="1">
      <x:alignment horizontal="center" vertical="center" wrapText="1"/>
    </x:xf>
    <x:xf numFmtId="0" fontId="13" fillId="12" borderId="0" xfId="0" applyFont="1" applyFill="1" applyBorder="1" applyAlignment="1">
      <x:alignment horizontal="center" wrapText="1"/>
    </x:xf>
    <x:xf numFmtId="0" fontId="5" fillId="12" borderId="0" xfId="0" applyFont="1" applyFill="1" applyBorder="1" applyAlignment="1">
      <x:alignment horizontal="center" vertical="center" wrapText="1"/>
    </x:xf>
    <x:xf numFmtId="0" fontId="0" fillId="12" borderId="0" xfId="0" applyFill="1" applyBorder="1"/>
    <x:xf numFmtId="0" fontId="0" fillId="12" borderId="0" xfId="0" applyFill="1" applyBorder="1" applyAlignment="1">
      <x:alignment wrapText="1"/>
    </x:xf>
    <x:xf numFmtId="0" fontId="0" fillId="12" borderId="0" xfId="0" applyFill="1" applyBorder="1" applyAlignment="1">
      <x:alignment vertical="center" wrapText="1"/>
    </x:xf>
    <x:xf numFmtId="0" fontId="11" fillId="12" borderId="0" xfId="0" applyFont="1" applyFill="1" applyBorder="1" applyAlignment="1">
      <x:alignment vertical="center" wrapText="1"/>
    </x:xf>
    <x:xf numFmtId="0" fontId="13" fillId="12" borderId="0" xfId="0" applyFont="1" applyFill="1" applyBorder="1" applyAlignment="1">
      <x:alignment vertical="center" wrapText="1"/>
    </x:xf>
    <x:xf numFmtId="0" fontId="8" fillId="12" borderId="0" xfId="0" applyFont="1" applyFill="1" applyBorder="1" applyAlignment="1">
      <x:alignment horizontal="left" vertical="center" wrapText="1"/>
    </x:xf>
    <x:xf numFmtId="0" fontId="0" fillId="12" borderId="0" xfId="0" applyFill="1" applyBorder="1" applyAlignment="1">
      <x:alignment horizontal="left"/>
    </x:xf>
    <x:xf numFmtId="0" fontId="0" fillId="12" borderId="0" xfId="0" applyFill="1" applyBorder="1" applyAlignment="1">
      <x:alignment horizontal="left" vertical="center" wrapText="1"/>
    </x:xf>
    <x:xf numFmtId="0" fontId="0" fillId="12" borderId="0" xfId="0" applyFill="1" applyBorder="1" applyAlignment="1">
      <x:alignment horizontal="left" wrapText="1"/>
    </x:xf>
    <x:xf numFmtId="0" fontId="26" fillId="12" borderId="0" xfId="0" applyFont="1" applyFill="1" applyBorder="1" applyAlignment="1">
      <x:alignment vertical="center" wrapText="1"/>
    </x:xf>
    <x:xf numFmtId="0" fontId="25" fillId="12" borderId="0" xfId="0" applyFont="1" applyFill="1" applyBorder="1" applyAlignment="1">
      <x:alignment vertical="center" wrapText="1"/>
    </x:xf>
    <x:xf numFmtId="0" fontId="28" fillId="12" borderId="0" xfId="0" applyFont="1" applyFill="1" applyBorder="1" applyAlignment="1">
      <x:alignment wrapText="1"/>
    </x:xf>
    <x:xf numFmtId="0" fontId="27" fillId="12" borderId="0" xfId="0" applyFont="1" applyFill="1" applyBorder="1" applyAlignment="1">
      <x:alignment horizontal="center" vertical="center" wrapText="1"/>
    </x:xf>
    <x:xf numFmtId="0" fontId="27" fillId="12" borderId="0" xfId="0" applyFont="1" applyFill="1" applyBorder="1" applyAlignment="1">
      <x:alignment horizontal="center"/>
    </x:xf>
    <x:xf numFmtId="0" fontId="29" fillId="5" borderId="5" xfId="0" applyFont="1" applyFill="1" applyBorder="1" applyAlignment="1">
      <x:alignment horizontal="center" vertical="top" wrapText="1"/>
    </x:xf>
    <x:xf numFmtId="0" fontId="29" fillId="6" borderId="0" xfId="0" applyFont="1" applyFill="1" applyAlignment="1">
      <x:alignment horizontal="center" vertical="top"/>
    </x:xf>
    <x:xf numFmtId="0" fontId="29" fillId="0" borderId="0" xfId="0" applyFont="1" applyAlignment="1">
      <x:alignment horizontal="center" vertical="top"/>
    </x:xf>
    <x:xf numFmtId="0" fontId="31" fillId="0" borderId="0" xfId="0" applyFont="1"/>
    <x:xf numFmtId="0" fontId="32" fillId="19" borderId="18" xfId="0" applyFont="1" applyFill="1" applyBorder="1" applyAlignment="1">
      <x:alignment horizontal="center" vertical="center"/>
    </x:xf>
    <x:xf numFmtId="0" fontId="32" fillId="19" borderId="19" xfId="0" applyFont="1" applyFill="1" applyBorder="1" applyAlignment="1">
      <x:alignment horizontal="center" vertical="center"/>
    </x:xf>
    <x:xf numFmtId="0" fontId="32" fillId="19" borderId="19" xfId="0" applyFont="1" applyFill="1" applyBorder="1" applyAlignment="1">
      <x:alignment horizontal="center" vertical="center" wrapText="1"/>
    </x:xf>
    <x:xf numFmtId="0" fontId="33" fillId="19" borderId="20" xfId="0" applyFont="1" applyFill="1" applyBorder="1" applyAlignment="1">
      <x:alignment horizontal="center" vertical="center"/>
    </x:xf>
    <x:xf numFmtId="0" fontId="34" fillId="0" borderId="21" xfId="0" applyFont="1" applyBorder="1" applyAlignment="1">
      <x:alignment horizontal="center" vertical="center"/>
    </x:xf>
    <x:xf numFmtId="0" fontId="33" fillId="20" borderId="21" xfId="0" applyFont="1" applyFill="1" applyBorder="1" applyAlignment="1">
      <x:alignment horizontal="center" vertical="center"/>
    </x:xf>
    <x:xf numFmtId="0" fontId="34" fillId="21" borderId="21" xfId="0" applyFont="1" applyFill="1" applyBorder="1" applyAlignment="1">
      <x:alignment horizontal="center" vertical="center"/>
    </x:xf>
    <x:xf numFmtId="0" fontId="33" fillId="19" borderId="20" xfId="0" applyFont="1" applyFill="1" applyBorder="1" applyAlignment="1">
      <x:alignment vertical="center"/>
    </x:xf>
    <x:xf numFmtId="0" fontId="4" fillId="22" borderId="1" xfId="0" applyNumberFormat="1" applyFont="1" applyFill="1" applyBorder="1" applyAlignment="1">
      <x:alignment horizontal="center"/>
    </x:xf>
    <x:xf numFmtId="1" fontId="4" fillId="22" borderId="1" xfId="0" applyNumberFormat="1" applyFont="1" applyFill="1" applyBorder="1" applyAlignment="1">
      <x:alignment horizontal="center"/>
    </x:xf>
    <x:xf numFmtId="0" fontId="0" fillId="22" borderId="1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8" fillId="10" borderId="6" xfId="0" applyNumberFormat="1" applyFont="1" applyFill="1" applyBorder="1" applyAlignment="1">
      <x:alignment horizontal="center" vertical="center"/>
    </x:xf>
    <x:xf numFmtId="0" fontId="8" fillId="10" borderId="7" xfId="0" applyNumberFormat="1" applyFont="1" applyFill="1" applyBorder="1" applyAlignment="1">
      <x:alignment horizontal="center" vertical="center"/>
    </x:xf>
    <x:xf numFmtId="0" fontId="8" fillId="10" borderId="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10" borderId="12" xfId="0" applyNumberFormat="1" applyFont="1" applyFill="1" applyBorder="1" applyAlignment="1">
      <x:alignment horizontal="center" vertical="center"/>
    </x:xf>
    <x:xf numFmtId="0" fontId="1" fillId="10" borderId="13" xfId="0" applyNumberFormat="1" applyFont="1" applyFill="1" applyBorder="1" applyAlignment="1">
      <x:alignment horizontal="center" vertical="center"/>
    </x:xf>
    <x:xf numFmtId="0" fontId="1" fillId="10" borderId="14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horizontal="center" vertical="center"/>
    </x:xf>
    <x:xf numFmtId="0" fontId="20" fillId="0" borderId="11" xfId="0" applyNumberFormat="1" applyFont="1" applyFill="1" applyBorder="1" applyAlignment="1">
      <x:alignment horizontal="center" vertical="center"/>
    </x:xf>
    <x:xf numFmtId="0" fontId="8" fillId="11" borderId="11" xfId="0" applyNumberFormat="1" applyFont="1" applyFill="1" applyBorder="1" applyAlignment="1">
      <x:alignment horizontal="center" vertical="center"/>
    </x:xf>
    <x:xf numFmtId="0" fontId="14" fillId="14" borderId="9" xfId="0" applyNumberFormat="1" applyFont="1" applyFill="1" applyBorder="1" applyAlignment="1">
      <x:alignment horizontal="center" vertical="center"/>
    </x:xf>
    <x:xf numFmtId="0" fontId="14" fillId="14" borderId="11" xfId="0" applyNumberFormat="1" applyFont="1" applyFill="1" applyBorder="1" applyAlignment="1">
      <x:alignment horizontal="center" vertical="center"/>
    </x:xf>
    <x:xf numFmtId="0" fontId="20" fillId="14" borderId="11" xfId="0" applyNumberFormat="1" applyFont="1" applyFill="1" applyBorder="1" applyAlignment="1">
      <x:alignment horizontal="center" vertical="center"/>
    </x:xf>
    <x:xf numFmtId="0" fontId="20" fillId="14" borderId="9" xfId="0" applyNumberFormat="1" applyFont="1" applyFill="1" applyBorder="1" applyAlignment="1">
      <x:alignment horizontal="center" vertical="center"/>
    </x:xf>
    <x:xf numFmtId="0" fontId="8" fillId="11" borderId="9" xfId="0" applyNumberFormat="1" applyFont="1" applyFill="1" applyBorder="1" applyAlignment="1">
      <x:alignment horizontal="center" vertical="center"/>
    </x:xf>
    <x:xf numFmtId="0" fontId="8" fillId="11" borderId="1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14" fillId="12" borderId="1" xfId="0" applyNumberFormat="1" applyFont="1" applyFill="1" applyBorder="1" applyAlignment="1">
      <x:alignment horizontal="center" vertical="center"/>
    </x:xf>
    <x:xf numFmtId="0" fontId="20" fillId="12" borderId="1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8" fillId="12" borderId="1" xfId="0" applyNumberFormat="1" applyFont="1" applyFill="1" applyBorder="1" applyAlignment="1">
      <x:alignment horizontal="center" vertical="center"/>
    </x:xf>
    <x:xf numFmtId="0" fontId="20" fillId="0" borderId="1" xfId="0" applyNumberFormat="1" applyFont="1" applyFill="1" applyBorder="1" applyAlignment="1">
      <x:alignment horizontal="center" vertical="center"/>
    </x:xf>
    <x:xf numFmtId="0" fontId="27" fillId="5" borderId="5" xfId="0" applyNumberFormat="1" applyFont="1" applyFill="1" applyBorder="1" applyAlignment="1">
      <x:alignment horizontal="center" vertical="center" wrapText="1"/>
    </x:xf>
    <x:xf numFmtId="0" fontId="27" fillId="6" borderId="0" xfId="0" applyNumberFormat="1" applyFont="1" applyFill="1" applyBorder="1" applyAlignment="1">
      <x:alignment horizontal="center" vertic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" fillId="7" borderId="18" xfId="0" applyNumberFormat="1" applyFont="1" applyFill="1" applyBorder="1" applyAlignment="1">
      <x:alignment horizontal="center" vertical="center"/>
    </x:xf>
    <x:xf numFmtId="0" fontId="1" fillId="7" borderId="19" xfId="0" applyNumberFormat="1" applyFont="1" applyFill="1" applyBorder="1" applyAlignment="1">
      <x:alignment horizontal="center" vertical="center"/>
    </x:xf>
    <x:xf numFmtId="0" fontId="1" fillId="7" borderId="19" xfId="0" applyNumberFormat="1" applyFont="1" applyFill="1" applyBorder="1" applyAlignment="1">
      <x:alignment horizontal="center" vertical="center" wrapText="1"/>
    </x:xf>
    <x:xf numFmtId="0" fontId="33" fillId="7" borderId="20" xfId="0" applyNumberFormat="1" applyFont="1" applyFill="1" applyBorder="1" applyAlignment="1">
      <x:alignment horizontal="center" vertical="center"/>
    </x:xf>
    <x:xf numFmtId="0" fontId="34" fillId="0" borderId="21" xfId="0" applyNumberFormat="1" applyFont="1" applyFill="1" applyBorder="1" applyAlignment="1">
      <x:alignment horizontal="center" vertical="center"/>
    </x:xf>
    <x:xf numFmtId="0" fontId="33" fillId="6" borderId="21" xfId="0" applyNumberFormat="1" applyFont="1" applyFill="1" applyBorder="1" applyAlignment="1">
      <x:alignment horizontal="center" vertical="center"/>
    </x:xf>
    <x:xf numFmtId="0" fontId="34" fillId="21" borderId="21" xfId="0" applyNumberFormat="1" applyFont="1" applyFill="1" applyBorder="1" applyAlignment="1">
      <x:alignment horizontal="center" vertical="center"/>
    </x:xf>
    <x:xf numFmtId="0" fontId="33" fillId="7" borderId="2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22" borderId="1" xfId="0" applyNumberFormat="1" applyFont="1" applyFill="1" applyBorder="1" applyAlignment="1">
      <x:alignment horizontal="center" vertical="center"/>
    </x:xf>
    <x:xf numFmtId="1" fontId="4" fillId="22" borderId="1" xfId="0" applyNumberFormat="1" applyFont="1" applyFill="1" applyBorder="1" applyAlignment="1">
      <x:alignment horizontal="center" vertical="center"/>
    </x:xf>
    <x:xf numFmtId="0" fontId="0" fillId="22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 wrapText="1"/>
    </x:xf>
    <x:xf numFmtId="1" fontId="4" fillId="17" borderId="1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e87f8fa174495" /><Relationship Type="http://schemas.openxmlformats.org/officeDocument/2006/relationships/theme" Target="/xl/theme/theme1.xml" Id="Rae25c034a13646e0" /><Relationship Type="http://schemas.openxmlformats.org/officeDocument/2006/relationships/sharedStrings" Target="/xl/sharedStrings.xml" Id="R81dfa757fe754aaf" /><Relationship Type="http://schemas.openxmlformats.org/officeDocument/2006/relationships/worksheet" Target="/xl/worksheets/sheet1.xml" Id="R6f71d0e7aea74ec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5"/>
  <x:cols>
    <x:col min="1" max="1" width="19.08984375" customWidth="1"/>
    <x:col min="2" max="2" width="14" customWidth="1"/>
    <x:col min="3" max="3" width="48.36328125" customWidth="1"/>
    <x:col min="4" max="4" width="37.36328125" customWidth="1"/>
    <x:col min="5" max="5" width="18.26953125" customWidth="1"/>
    <x:col min="6" max="6" width="5.54296875" customWidth="1"/>
    <x:col min="7" max="7" width="8.36328125" hidden="1" customWidth="1"/>
    <x:col min="8" max="8" width="4.36328125" style="50" customWidth="1"/>
    <x:col min="9" max="9" width="23.6328125" customWidth="1"/>
    <x:col min="10" max="10" width="18.453125" customWidth="1"/>
    <x:col min="11" max="11" width="16.7265625" customWidth="1"/>
    <x:col min="12" max="12" width="20.6328125" customWidth="1"/>
    <x:col min="13" max="13" width="21.6328125" customWidth="1"/>
    <x:col min="14" max="14" width="26.54296875" customWidth="1"/>
    <x:col min="15" max="15" width="17.7265625" customWidth="1"/>
    <x:col min="16" max="16" width="14.36328125" customWidth="1"/>
    <x:col min="17" max="17" width="33.36328125" customWidth="1"/>
  </x:cols>
  <x:sheetData>
    <x:row r="1" ht="18.5">
      <x:c r="A1" s="8"/>
      <x:c r="B1" s="8"/>
      <x:c r="C1" s="8"/>
      <x:c r="D1" s="8"/>
      <x:c r="E1" s="8"/>
    </x:row>
    <x:row r="2" ht="37">
      <x:c r="A2" s="9" t="s">
        <x:v>0</x:v>
      </x:c>
      <x:c r="B2" s="10" t="s">
        <x:v>1</x:v>
      </x:c>
      <x:c r="C2" s="10" t="s">
        <x:v>2</x:v>
      </x:c>
      <x:c r="D2" s="9" t="s">
        <x:v>3</x:v>
      </x:c>
      <x:c r="E2" s="10" t="s">
        <x:v>4</x:v>
      </x:c>
      <x:c r="I2" s="108" t="str">
        <x:v>TABLA 1: Direccionamiento IP de las subredes de la multinacional</x:v>
      </x:c>
      <x:c r="J2" s="109" t="str">
        <x:v>TABLA 1: Direccionamiento IP de las subredes de la multinacional</x:v>
      </x:c>
      <x:c r="K2" s="109" t="str">
        <x:v>TABLA 1: Direccionamiento IP de las subredes de la multinacional</x:v>
      </x:c>
      <x:c r="L2" s="109" t="str">
        <x:v>TABLA 1: Direccionamiento IP de las subredes de la multinacional</x:v>
      </x:c>
      <x:c r="M2" s="109" t="str">
        <x:v>TABLA 1: Direccionamiento IP de las subredes de la multinacional</x:v>
      </x:c>
      <x:c r="N2" s="109" t="str">
        <x:v>TABLA 1: Direccionamiento IP de las subredes de la multinacional</x:v>
      </x:c>
      <x:c r="O2" s="109" t="str">
        <x:v>TABLA 1: Direccionamiento IP de las subredes de la multinacional</x:v>
      </x:c>
      <x:c r="P2" s="110" t="str">
        <x:v>TABLA 1: Direccionamiento IP de las subredes de la multinacional</x:v>
      </x:c>
      <x:c r="Q2" s="111"/>
    </x:row>
    <x:row r="3" ht="28.5">
      <x:c r="A3" s="11"/>
      <x:c r="B3" s="11"/>
      <x:c r="C3" s="11"/>
      <x:c r="D3" s="11"/>
      <x:c r="E3" s="11"/>
      <x:c r="I3" s="112" t="str">
        <x:v>ID de red: 10.142.0.0/16</x:v>
      </x:c>
      <x:c r="J3" s="113" t="str">
        <x:v>ID de red: 10.142.0.0/16</x:v>
      </x:c>
      <x:c r="K3" s="113" t="str">
        <x:v>ID de red: 10.142.0.0/16</x:v>
      </x:c>
      <x:c r="L3" s="113" t="str">
        <x:v>ID de red: 10.142.0.0/16</x:v>
      </x:c>
      <x:c r="M3" s="113" t="str">
        <x:v>ID de red: 10.142.0.0/16</x:v>
      </x:c>
      <x:c r="N3" s="113" t="str">
        <x:v>ID de red: 10.142.0.0/16</x:v>
      </x:c>
      <x:c r="O3" s="113" t="str">
        <x:v>ID de red: 10.142.0.0/16</x:v>
      </x:c>
      <x:c r="P3" s="114" t="str">
        <x:v>ID de red: 10.142.0.0/16</x:v>
      </x:c>
      <x:c r="Q3" s="111"/>
    </x:row>
    <x:row r="4" ht="92.5">
      <x:c r="A4" s="62" t="s">
        <x:v>5</x:v>
      </x:c>
      <x:c r="B4" s="12" t="s">
        <x:v>6</x:v>
      </x:c>
      <x:c r="C4" s="68" t="s">
        <x:v>7</x:v>
      </x:c>
      <x:c r="D4" s="13" t="s">
        <x:v>8</x:v>
      </x:c>
      <x:c r="E4" s="14"/>
      <x:c r="I4" s="115" t="s">
        <x:v>9</x:v>
      </x:c>
      <x:c r="J4" s="115" t="s">
        <x:v>10</x:v>
      </x:c>
      <x:c r="K4" s="115" t="s">
        <x:v>11</x:v>
      </x:c>
      <x:c r="L4" s="115" t="s">
        <x:v>12</x:v>
      </x:c>
      <x:c r="M4" s="115" t="s">
        <x:v>13</x:v>
      </x:c>
      <x:c r="N4" s="115" t="s">
        <x:v>14</x:v>
      </x:c>
      <x:c r="O4" s="116" t="s">
        <x:v>15</x:v>
      </x:c>
      <x:c r="P4" s="115" t="s">
        <x:v>16</x:v>
      </x:c>
      <x:c r="Q4" s="111"/>
    </x:row>
    <x:row r="5" ht="74">
      <x:c r="A5" s="63"/>
      <x:c r="B5" s="12" t="s">
        <x:v>6</x:v>
      </x:c>
      <x:c r="C5" s="69"/>
      <x:c r="D5" s="14" t="s">
        <x:v>17</x:v>
      </x:c>
      <x:c r="E5" s="1">
        <x:v>2</x:v>
      </x:c>
      <x:c r="I5" s="117" t="str">
        <x:v>S0</x:v>
      </x:c>
      <x:c r="J5" s="117" t="str">
        <x:v>00001010</x:v>
      </x:c>
      <x:c r="K5" s="117" t="str">
        <x:v>10001110</x:v>
      </x:c>
      <x:c r="L5" s="117" t="str">
        <x:v>00000000</x:v>
      </x:c>
      <x:c r="M5" s="118" t="str">
        <x:v>00000000</x:v>
      </x:c>
      <x:c r="N5" s="117" t="str">
        <x:v>10.142.0.0</x:v>
      </x:c>
      <x:c r="O5" s="117" t="str">
        <x:v>/19</x:v>
      </x:c>
      <x:c r="P5" s="119" t="str">
        <x:v>Reservado</x:v>
      </x:c>
      <x:c r="Q5" s="111"/>
    </x:row>
    <x:row r="6" ht="74">
      <x:c r="A6" s="63"/>
      <x:c r="B6" s="12" t="s">
        <x:v>6</x:v>
      </x:c>
      <x:c r="C6" s="69"/>
      <x:c r="D6" s="14" t="s">
        <x:v>18</x:v>
      </x:c>
      <x:c r="E6" s="1">
        <x:v>2</x:v>
      </x:c>
      <x:c r="I6" s="120" t="str">
        <x:v>S1</x:v>
      </x:c>
      <x:c r="J6" s="121" t="str">
        <x:v>00001010</x:v>
      </x:c>
      <x:c r="K6" s="121" t="str">
        <x:v>10001110</x:v>
      </x:c>
      <x:c r="L6" s="121" t="str">
        <x:v>00100000</x:v>
      </x:c>
      <x:c r="M6" s="122" t="str">
        <x:v>00000000</x:v>
      </x:c>
      <x:c r="N6" s="121" t="str">
        <x:v>10.142.32.0</x:v>
      </x:c>
      <x:c r="O6" s="121" t="str">
        <x:v>/19</x:v>
      </x:c>
      <x:c r="P6" s="123" t="str">
        <x:v>Perú</x:v>
      </x:c>
      <x:c r="Q6" s="111"/>
    </x:row>
    <x:row r="7" ht="74">
      <x:c r="A7" s="63"/>
      <x:c r="B7" s="12" t="s">
        <x:v>6</x:v>
      </x:c>
      <x:c r="C7" s="69"/>
      <x:c r="D7" s="14" t="s">
        <x:v>19</x:v>
      </x:c>
      <x:c r="E7" s="1">
        <x:v>3</x:v>
      </x:c>
      <x:c r="I7" s="124" t="str">
        <x:v>S2</x:v>
      </x:c>
      <x:c r="J7" s="117" t="str">
        <x:v>00001010</x:v>
      </x:c>
      <x:c r="K7" s="117" t="str">
        <x:v>10001110</x:v>
      </x:c>
      <x:c r="L7" s="117" t="str">
        <x:v>01000000</x:v>
      </x:c>
      <x:c r="M7" s="118" t="str">
        <x:v>00000000</x:v>
      </x:c>
      <x:c r="N7" s="117" t="str">
        <x:v>10.142.64.0</x:v>
      </x:c>
      <x:c r="O7" s="117" t="str">
        <x:v>/19</x:v>
      </x:c>
      <x:c r="P7" s="124" t="str">
        <x:v>Chile</x:v>
      </x:c>
      <x:c r="Q7" s="111"/>
    </x:row>
    <x:row r="8" ht="92.5">
      <x:c r="A8" s="63"/>
      <x:c r="B8" s="12" t="s">
        <x:v>6</x:v>
      </x:c>
      <x:c r="C8" s="69"/>
      <x:c r="D8" s="14" t="s">
        <x:v>20</x:v>
      </x:c>
      <x:c r="E8" s="1">
        <x:v>3</x:v>
      </x:c>
      <x:c r="I8" s="124" t="str">
        <x:v>S3</x:v>
      </x:c>
      <x:c r="J8" s="117" t="str">
        <x:v>00001010</x:v>
      </x:c>
      <x:c r="K8" s="117" t="str">
        <x:v>10001110</x:v>
      </x:c>
      <x:c r="L8" s="117" t="str">
        <x:v>01100000</x:v>
      </x:c>
      <x:c r="M8" s="118" t="str">
        <x:v>00000000</x:v>
      </x:c>
      <x:c r="N8" s="117" t="str">
        <x:v>10.142.96.0</x:v>
      </x:c>
      <x:c r="O8" s="117" t="str">
        <x:v>/19</x:v>
      </x:c>
      <x:c r="P8" s="124" t="str">
        <x:v>Argentina</x:v>
      </x:c>
      <x:c r="Q8" s="111"/>
    </x:row>
    <x:row r="9" ht="18.5">
      <x:c r="A9" s="63"/>
      <x:c r="B9" s="12" t="s">
        <x:v>6</x:v>
      </x:c>
      <x:c r="C9" s="69"/>
      <x:c r="D9" s="13" t="s">
        <x:v>21</x:v>
      </x:c>
      <x:c r="E9" s="1"/>
      <x:c r="I9" s="124" t="str">
        <x:v>S4</x:v>
      </x:c>
      <x:c r="J9" s="117" t="str">
        <x:v>00001010</x:v>
      </x:c>
      <x:c r="K9" s="117" t="str">
        <x:v>10001110</x:v>
      </x:c>
      <x:c r="L9" s="117" t="str">
        <x:v>10000000</x:v>
      </x:c>
      <x:c r="M9" s="118" t="str">
        <x:v>00000000</x:v>
      </x:c>
      <x:c r="N9" s="117" t="str">
        <x:v>10.142.128.0</x:v>
      </x:c>
      <x:c r="O9" s="117" t="str">
        <x:v>/19</x:v>
      </x:c>
      <x:c r="P9" s="124" t="str">
        <x:v>Ecuador</x:v>
      </x:c>
      <x:c r="Q9" s="111"/>
    </x:row>
    <x:row r="10" ht="111">
      <x:c r="A10" s="63"/>
      <x:c r="B10" s="12" t="s">
        <x:v>6</x:v>
      </x:c>
      <x:c r="C10" s="69"/>
      <x:c r="D10" s="14" t="s">
        <x:v>22</x:v>
      </x:c>
      <x:c r="E10" s="1">
        <x:v>2</x:v>
      </x:c>
      <x:c r="I10" s="124" t="str">
        <x:v>S5</x:v>
      </x:c>
      <x:c r="J10" s="117" t="str">
        <x:v>00001010</x:v>
      </x:c>
      <x:c r="K10" s="117" t="str">
        <x:v>10001110</x:v>
      </x:c>
      <x:c r="L10" s="117" t="str">
        <x:v>10100000</x:v>
      </x:c>
      <x:c r="M10" s="118" t="str">
        <x:v>00000000</x:v>
      </x:c>
      <x:c r="N10" s="117" t="str">
        <x:v>10.142.160.0</x:v>
      </x:c>
      <x:c r="O10" s="117" t="str">
        <x:v>/19</x:v>
      </x:c>
      <x:c r="P10" s="125" t="str">
        <x:v>Colombia</x:v>
      </x:c>
      <x:c r="Q10" s="111"/>
    </x:row>
    <x:row r="11" ht="92.5">
      <x:c r="A11" s="64"/>
      <x:c r="B11" s="12" t="s">
        <x:v>6</x:v>
      </x:c>
      <x:c r="C11" s="70"/>
      <x:c r="D11" s="14" t="s">
        <x:v>23</x:v>
      </x:c>
      <x:c r="E11" s="1">
        <x:v>8</x:v>
      </x:c>
      <x:c r="I11" s="124" t="str">
        <x:v>S6</x:v>
      </x:c>
      <x:c r="J11" s="117" t="str">
        <x:v>00001010</x:v>
      </x:c>
      <x:c r="K11" s="117" t="str">
        <x:v>10001110</x:v>
      </x:c>
      <x:c r="L11" s="117" t="str">
        <x:v>11000000</x:v>
      </x:c>
      <x:c r="M11" s="118" t="str">
        <x:v>00000000</x:v>
      </x:c>
      <x:c r="N11" s="117" t="str">
        <x:v>10.142.192.0</x:v>
      </x:c>
      <x:c r="O11" s="117" t="str">
        <x:v>/19</x:v>
      </x:c>
      <x:c r="P11" s="126" t="str">
        <x:v>Reserva</x:v>
      </x:c>
      <x:c r="Q11" s="111"/>
    </x:row>
    <x:row r="12" ht="18.5">
      <x:c r="A12" s="65" t="s">
        <x:v>24</x:v>
      </x:c>
      <x:c r="B12" s="15" t="s">
        <x:v>25</x:v>
      </x:c>
      <x:c r="C12" s="71" t="s">
        <x:v>26</x:v>
      </x:c>
      <x:c r="D12" s="16" t="s">
        <x:v>27</x:v>
      </x:c>
      <x:c r="E12" s="2"/>
      <x:c r="I12" s="127" t="str">
        <x:v>S7</x:v>
      </x:c>
      <x:c r="J12" s="128" t="str">
        <x:v>00001010</x:v>
      </x:c>
      <x:c r="K12" s="128" t="str">
        <x:v>10001110</x:v>
      </x:c>
      <x:c r="L12" s="128" t="str">
        <x:v>11100000</x:v>
      </x:c>
      <x:c r="M12" s="118" t="str">
        <x:v>00000000</x:v>
      </x:c>
      <x:c r="N12" s="128" t="str">
        <x:v>10.142.224.0</x:v>
      </x:c>
      <x:c r="O12" s="128" t="str">
        <x:v>/19</x:v>
      </x:c>
      <x:c r="P12" s="128" t="str">
        <x:v>Reserva</x:v>
      </x:c>
      <x:c r="Q12" s="111"/>
    </x:row>
    <x:row r="13" ht="55.5">
      <x:c r="A13" s="66"/>
      <x:c r="B13" s="15" t="s">
        <x:v>25</x:v>
      </x:c>
      <x:c r="C13" s="72"/>
      <x:c r="D13" s="17" t="s">
        <x:v>28</x:v>
      </x:c>
      <x:c r="E13" s="2">
        <x:v>2</x:v>
      </x:c>
      <x:c r="I13" s="129"/>
      <x:c r="J13" s="129"/>
      <x:c r="K13" s="129"/>
      <x:c r="L13" s="129"/>
      <x:c r="M13" s="129"/>
      <x:c r="N13" s="129"/>
      <x:c r="O13" s="129"/>
      <x:c r="P13" s="129"/>
      <x:c r="Q13" s="111"/>
    </x:row>
    <x:row r="14" ht="55.5">
      <x:c r="A14" s="66"/>
      <x:c r="B14" s="15" t="s">
        <x:v>25</x:v>
      </x:c>
      <x:c r="C14" s="72"/>
      <x:c r="D14" s="17" t="s">
        <x:v>29</x:v>
      </x:c>
      <x:c r="E14" s="2">
        <x:v>2</x:v>
      </x:c>
      <x:c r="I14" s="130" t="str">
        <x:v>TABLA 2: Direccionamiento de sedes de Perú y red WAN</x:v>
      </x:c>
      <x:c r="J14" s="130" t="str">
        <x:v>TABLA 2: Direccionamiento de sedes de Perú y red WAN</x:v>
      </x:c>
      <x:c r="K14" s="130" t="str">
        <x:v>TABLA 2: Direccionamiento de sedes de Perú y red WAN</x:v>
      </x:c>
      <x:c r="L14" s="130" t="str">
        <x:v>TABLA 2: Direccionamiento de sedes de Perú y red WAN</x:v>
      </x:c>
      <x:c r="M14" s="130" t="str">
        <x:v>TABLA 2: Direccionamiento de sedes de Perú y red WAN</x:v>
      </x:c>
      <x:c r="N14" s="130" t="str">
        <x:v>TABLA 2: Direccionamiento de sedes de Perú y red WAN</x:v>
      </x:c>
      <x:c r="O14" s="130" t="str">
        <x:v>TABLA 2: Direccionamiento de sedes de Perú y red WAN</x:v>
      </x:c>
      <x:c r="P14" s="130" t="str">
        <x:v>TABLA 2: Direccionamiento de sedes de Perú y red WAN</x:v>
      </x:c>
      <x:c r="Q14" s="111"/>
    </x:row>
    <x:row r="15" ht="43.5">
      <x:c r="A15" s="66"/>
      <x:c r="B15" s="15" t="s">
        <x:v>25</x:v>
      </x:c>
      <x:c r="C15" s="72"/>
      <x:c r="D15" s="16" t="s">
        <x:v>30</x:v>
      </x:c>
      <x:c r="E15" s="2"/>
      <x:c r="I15" s="115" t="s">
        <x:v>9</x:v>
      </x:c>
      <x:c r="J15" s="115" t="s">
        <x:v>10</x:v>
      </x:c>
      <x:c r="K15" s="115" t="s">
        <x:v>11</x:v>
      </x:c>
      <x:c r="L15" s="115" t="s">
        <x:v>12</x:v>
      </x:c>
      <x:c r="M15" s="115" t="s">
        <x:v>13</x:v>
      </x:c>
      <x:c r="N15" s="115" t="s">
        <x:v>14</x:v>
      </x:c>
      <x:c r="O15" s="116" t="s">
        <x:v>15</x:v>
      </x:c>
      <x:c r="P15" s="116" t="s">
        <x:v>31</x:v>
      </x:c>
      <x:c r="Q15" s="111"/>
    </x:row>
    <x:row r="16" ht="55.5">
      <x:c r="A16" s="66"/>
      <x:c r="B16" s="15" t="s">
        <x:v>25</x:v>
      </x:c>
      <x:c r="C16" s="72"/>
      <x:c r="D16" s="17" t="s">
        <x:v>32</x:v>
      </x:c>
      <x:c r="E16" s="2">
        <x:v>2</x:v>
      </x:c>
      <x:c r="I16" s="131" t="str">
        <x:v>S0</x:v>
      </x:c>
      <x:c r="J16" s="132" t="str">
        <x:v>00001010</x:v>
      </x:c>
      <x:c r="K16" s="132" t="str">
        <x:v>10001110</x:v>
      </x:c>
      <x:c r="L16" s="132" t="str">
        <x:v>00100000</x:v>
      </x:c>
      <x:c r="M16" s="133" t="str">
        <x:v>00000000</x:v>
      </x:c>
      <x:c r="N16" s="132" t="str">
        <x:v>10.142.32.0</x:v>
      </x:c>
      <x:c r="O16" s="131" t="str">
        <x:v>/22</x:v>
      </x:c>
      <x:c r="P16" s="134" t="str">
        <x:v>Reservado</x:v>
      </x:c>
      <x:c r="Q16" s="111"/>
    </x:row>
    <x:row r="17" ht="74">
      <x:c r="A17" s="66"/>
      <x:c r="B17" s="15" t="s">
        <x:v>25</x:v>
      </x:c>
      <x:c r="C17" s="72"/>
      <x:c r="D17" s="17" t="s">
        <x:v>33</x:v>
      </x:c>
      <x:c r="E17" s="2">
        <x:v>2</x:v>
      </x:c>
      <x:c r="I17" s="132" t="str">
        <x:v>S1</x:v>
      </x:c>
      <x:c r="J17" s="132" t="str">
        <x:v>00001010</x:v>
      </x:c>
      <x:c r="K17" s="132" t="str">
        <x:v>10001110</x:v>
      </x:c>
      <x:c r="L17" s="132" t="str">
        <x:v>00100100</x:v>
      </x:c>
      <x:c r="M17" s="133" t="str">
        <x:v>00000000</x:v>
      </x:c>
      <x:c r="N17" s="132" t="str">
        <x:v>10.142.36.0</x:v>
      </x:c>
      <x:c r="O17" s="135" t="str">
        <x:v>/22</x:v>
      </x:c>
      <x:c r="P17" s="133" t="str">
        <x:v>Redes WAN</x:v>
      </x:c>
      <x:c r="Q17" s="111"/>
    </x:row>
    <x:row r="18" ht="37">
      <x:c r="A18" s="66"/>
      <x:c r="B18" s="15" t="s">
        <x:v>25</x:v>
      </x:c>
      <x:c r="C18" s="72"/>
      <x:c r="D18" s="17" t="s">
        <x:v>34</x:v>
      </x:c>
      <x:c r="E18" s="2">
        <x:v>4</x:v>
      </x:c>
      <x:c r="I18" s="134" t="str">
        <x:v>S2</x:v>
      </x:c>
      <x:c r="J18" s="131" t="str">
        <x:v>00001010</x:v>
      </x:c>
      <x:c r="K18" s="131" t="str">
        <x:v>10001110</x:v>
      </x:c>
      <x:c r="L18" s="132" t="str">
        <x:v>00101000</x:v>
      </x:c>
      <x:c r="M18" s="136" t="str">
        <x:v>00000000</x:v>
      </x:c>
      <x:c r="N18" s="132" t="str">
        <x:v>10.142.40.0</x:v>
      </x:c>
      <x:c r="O18" s="131" t="str">
        <x:v>/22</x:v>
      </x:c>
      <x:c r="P18" s="134" t="str">
        <x:v>Lima</x:v>
      </x:c>
      <x:c r="Q18" s="111"/>
    </x:row>
    <x:row r="19" ht="55.5">
      <x:c r="A19" s="66"/>
      <x:c r="B19" s="15" t="s">
        <x:v>25</x:v>
      </x:c>
      <x:c r="C19" s="72"/>
      <x:c r="D19" s="17" t="s">
        <x:v>35</x:v>
      </x:c>
      <x:c r="E19" s="2">
        <x:v>2</x:v>
      </x:c>
      <x:c r="I19" s="134" t="str">
        <x:v>S3</x:v>
      </x:c>
      <x:c r="J19" s="131" t="str">
        <x:v>00001010</x:v>
      </x:c>
      <x:c r="K19" s="131" t="str">
        <x:v>10001110</x:v>
      </x:c>
      <x:c r="L19" s="132" t="str">
        <x:v>00101100</x:v>
      </x:c>
      <x:c r="M19" s="136" t="str">
        <x:v>00000000</x:v>
      </x:c>
      <x:c r="N19" s="132" t="str">
        <x:v>10.142.44.0</x:v>
      </x:c>
      <x:c r="O19" s="131" t="str">
        <x:v>/22</x:v>
      </x:c>
      <x:c r="P19" s="134" t="str">
        <x:v>La Libertad</x:v>
      </x:c>
      <x:c r="Q19" s="111"/>
    </x:row>
    <x:row r="20" ht="18.5">
      <x:c r="A20" s="66"/>
      <x:c r="B20" s="15" t="s">
        <x:v>25</x:v>
      </x:c>
      <x:c r="C20" s="72"/>
      <x:c r="D20" s="16" t="s">
        <x:v>36</x:v>
      </x:c>
      <x:c r="E20" s="2"/>
      <x:c r="I20" s="134" t="str">
        <x:v>S4</x:v>
      </x:c>
      <x:c r="J20" s="131" t="str">
        <x:v>00001010</x:v>
      </x:c>
      <x:c r="K20" s="131" t="str">
        <x:v>10001110</x:v>
      </x:c>
      <x:c r="L20" s="132" t="str">
        <x:v>00110000</x:v>
      </x:c>
      <x:c r="M20" s="136" t="str">
        <x:v>00000000</x:v>
      </x:c>
      <x:c r="N20" s="132" t="str">
        <x:v>10.142.48.0</x:v>
      </x:c>
      <x:c r="O20" s="131" t="str">
        <x:v>/22</x:v>
      </x:c>
      <x:c r="P20" s="134" t="str">
        <x:v>Puno</x:v>
      </x:c>
      <x:c r="Q20" s="111"/>
    </x:row>
    <x:row r="21" ht="74">
      <x:c r="A21" s="66"/>
      <x:c r="B21" s="15" t="s">
        <x:v>25</x:v>
      </x:c>
      <x:c r="C21" s="72"/>
      <x:c r="D21" s="17" t="s">
        <x:v>37</x:v>
      </x:c>
      <x:c r="E21" s="2">
        <x:v>4</x:v>
      </x:c>
      <x:c r="I21" s="134" t="str">
        <x:v>S5</x:v>
      </x:c>
      <x:c r="J21" s="131" t="str">
        <x:v>00001010</x:v>
      </x:c>
      <x:c r="K21" s="131" t="str">
        <x:v>10001110</x:v>
      </x:c>
      <x:c r="L21" s="132" t="str">
        <x:v>00110100</x:v>
      </x:c>
      <x:c r="M21" s="136" t="str">
        <x:v>00000000</x:v>
      </x:c>
      <x:c r="N21" s="132" t="str">
        <x:v>10.142.52.0</x:v>
      </x:c>
      <x:c r="O21" s="131" t="str">
        <x:v>/22</x:v>
      </x:c>
      <x:c r="P21" s="134" t="str">
        <x:v>Ica</x:v>
      </x:c>
      <x:c r="Q21" s="111"/>
    </x:row>
    <x:row r="22" ht="55.5">
      <x:c r="A22" s="67"/>
      <x:c r="B22" s="15" t="s">
        <x:v>25</x:v>
      </x:c>
      <x:c r="C22" s="73"/>
      <x:c r="D22" s="17" t="s">
        <x:v>38</x:v>
      </x:c>
      <x:c r="E22" s="2">
        <x:v>2</x:v>
      </x:c>
      <x:c r="I22" s="134" t="str">
        <x:v>S6</x:v>
      </x:c>
      <x:c r="J22" s="131" t="str">
        <x:v>00001010</x:v>
      </x:c>
      <x:c r="K22" s="131" t="str">
        <x:v>10001110</x:v>
      </x:c>
      <x:c r="L22" s="132" t="str">
        <x:v>00111000</x:v>
      </x:c>
      <x:c r="M22" s="136" t="str">
        <x:v>00000000</x:v>
      </x:c>
      <x:c r="N22" s="132" t="str">
        <x:v>10.142.56.0</x:v>
      </x:c>
      <x:c r="O22" s="131" t="str">
        <x:v>/22</x:v>
      </x:c>
      <x:c r="P22" s="134" t="str">
        <x:v>Huánuco</x:v>
      </x:c>
      <x:c r="Q22" s="111"/>
    </x:row>
    <x:row r="23">
      <x:c r="I23" s="131" t="str">
        <x:v>S7</x:v>
      </x:c>
      <x:c r="J23" s="131" t="str">
        <x:v>00001010</x:v>
      </x:c>
      <x:c r="K23" s="131" t="str">
        <x:v>10001110</x:v>
      </x:c>
      <x:c r="L23" s="132" t="str">
        <x:v>00111100</x:v>
      </x:c>
      <x:c r="M23" s="136" t="str">
        <x:v>00000000</x:v>
      </x:c>
      <x:c r="N23" s="132" t="str">
        <x:v>10.142.60.0</x:v>
      </x:c>
      <x:c r="O23" s="131" t="str">
        <x:v>/22</x:v>
      </x:c>
      <x:c r="P23" s="134" t="str">
        <x:v>Reserva</x:v>
      </x:c>
      <x:c r="Q23" s="111"/>
    </x:row>
    <x:row r="24" ht="15.5">
      <x:c r="D24" s="49"/>
      <x:c r="E24" s="49"/>
      <x:c r="F24" s="18"/>
      <x:c r="G24" s="18"/>
      <x:c r="H24" s="18"/>
      <x:c r="I24" s="111"/>
      <x:c r="J24" s="111"/>
      <x:c r="K24" s="111"/>
      <x:c r="L24" s="111"/>
      <x:c r="M24" s="111"/>
      <x:c r="N24" s="111"/>
      <x:c r="O24" s="111"/>
      <x:c r="P24" s="111"/>
      <x:c r="Q24" s="111"/>
    </x:row>
    <x:row r="25" ht="50" customHeight="1">
      <x:c r="A25" s="87"/>
      <x:c r="B25" s="87"/>
      <x:c r="C25" s="87"/>
      <x:c r="D25" s="87"/>
      <x:c r="E25" s="75"/>
      <x:c r="F25" s="76"/>
      <x:c r="G25" s="19"/>
      <x:c r="H25" s="19"/>
      <x:c r="I25" s="137" t="str">
        <x:v>TABLA 3 - VLSM de la sede principal Lima. Red de dominio: 10.142.40.0/22</x:v>
      </x:c>
      <x:c r="J25" s="137" t="str">
        <x:v>TABLA 3 - VLSM de la sede principal Lima. Red de dominio: 10.142.40.0/22</x:v>
      </x:c>
      <x:c r="K25" s="137" t="str">
        <x:v>TABLA 3 - VLSM de la sede principal Lima. Red de dominio: 10.142.40.0/22</x:v>
      </x:c>
      <x:c r="L25" s="137" t="str">
        <x:v>TABLA 3 - VLSM de la sede principal Lima. Red de dominio: 10.142.40.0/22</x:v>
      </x:c>
      <x:c r="M25" s="137" t="str">
        <x:v>TABLA 3 - VLSM de la sede principal Lima. Red de dominio: 10.142.40.0/22</x:v>
      </x:c>
      <x:c r="N25" s="137" t="str">
        <x:v>TABLA 3 - VLSM de la sede principal Lima. Red de dominio: 10.142.40.0/22</x:v>
      </x:c>
      <x:c r="O25" s="137" t="str">
        <x:v>TABLA 3 - VLSM de la sede principal Lima. Red de dominio: 10.142.40.0/22</x:v>
      </x:c>
      <x:c r="P25" s="137" t="str">
        <x:v>TABLA 3 - VLSM de la sede principal Lima. Red de dominio: 10.142.40.0/22</x:v>
      </x:c>
      <x:c r="Q25" s="137" t="str">
        <x:v>TABLA 3 - VLSM de la sede principal Lima. Red de dominio: 10.142.40.0/22</x:v>
      </x:c>
    </x:row>
    <x:row r="26" ht="21.5">
      <x:c r="A26" s="87"/>
      <x:c r="B26" s="87"/>
      <x:c r="C26" s="88"/>
      <x:c r="D26" s="88"/>
      <x:c r="E26" s="77"/>
      <x:c r="F26" s="78"/>
      <x:c r="G26" s="54"/>
      <x:c r="H26" s="20"/>
      <x:c r="I26" s="138"/>
      <x:c r="J26" s="139"/>
      <x:c r="K26" s="139"/>
      <x:c r="L26" s="139"/>
      <x:c r="M26" s="139"/>
      <x:c r="N26" s="139"/>
      <x:c r="O26" s="139"/>
      <x:c r="P26" s="140"/>
      <x:c r="Q26" s="140"/>
    </x:row>
    <x:row r="27" ht="63.5">
      <x:c r="A27" s="87"/>
      <x:c r="B27" s="87"/>
      <x:c r="C27" s="88"/>
      <x:c r="D27" s="88"/>
      <x:c r="E27" s="77"/>
      <x:c r="F27" s="78"/>
      <x:c r="G27" s="54"/>
      <x:c r="H27" s="20"/>
      <x:c r="I27" s="141" t="s">
        <x:v>39</x:v>
      </x:c>
      <x:c r="J27" s="142" t="s">
        <x:v>40</x:v>
      </x:c>
      <x:c r="K27" s="143" t="s">
        <x:v>41</x:v>
      </x:c>
      <x:c r="L27" s="142" t="s">
        <x:v>42</x:v>
      </x:c>
      <x:c r="M27" s="142" t="s">
        <x:v>43</x:v>
      </x:c>
      <x:c r="N27" s="142" t="s">
        <x:v>44</x:v>
      </x:c>
      <x:c r="O27" s="142" t="s">
        <x:v>45</x:v>
      </x:c>
      <x:c r="P27" s="142" t="s">
        <x:v>46</x:v>
      </x:c>
      <x:c r="Q27" s="142" t="s">
        <x:v>47</x:v>
      </x:c>
    </x:row>
    <x:row r="28" ht="21.5">
      <x:c r="A28" s="87"/>
      <x:c r="B28" s="87"/>
      <x:c r="C28" s="88"/>
      <x:c r="D28" s="88"/>
      <x:c r="E28" s="77"/>
      <x:c r="F28" s="78"/>
      <x:c r="G28" s="54"/>
      <x:c r="H28" s="53"/>
      <x:c r="I28" s="144" t="str">
        <x:v>Administración</x:v>
      </x:c>
      <x:c r="J28" s="145" t="n">
        <x:v>160</x:v>
      </x:c>
      <x:c r="K28" s="146" t="n">
        <x:f>ROUNDUP(J28*1.25,0)</x:f>
        <x:v>200</x:v>
      </x:c>
      <x:c r="L28" s="145" t="str">
        <x:v>10.142.40.0</x:v>
      </x:c>
      <x:c r="M28" s="145" t="str">
        <x:v>/24</x:v>
      </x:c>
      <x:c r="N28" s="145" t="str">
        <x:v>255.255.255.0</x:v>
      </x:c>
      <x:c r="O28" s="147" t="str">
        <x:v>10.142.40.1</x:v>
      </x:c>
      <x:c r="P28" s="147" t="str">
        <x:v>10.142.40.254</x:v>
      </x:c>
      <x:c r="Q28" s="147" t="str">
        <x:v>10.142.40.255</x:v>
      </x:c>
    </x:row>
    <x:row r="29" ht="21.5">
      <x:c r="A29" s="87"/>
      <x:c r="B29" s="87"/>
      <x:c r="C29" s="88"/>
      <x:c r="D29" s="88"/>
      <x:c r="E29" s="77"/>
      <x:c r="F29" s="78"/>
      <x:c r="G29" s="54"/>
      <x:c r="H29" s="53"/>
      <x:c r="I29" s="148" t="str">
        <x:v>Logística</x:v>
      </x:c>
      <x:c r="J29" s="145" t="n">
        <x:v>90</x:v>
      </x:c>
      <x:c r="K29" s="146" t="n">
        <x:f>ROUNDUP(J29*1.25,0)</x:f>
        <x:v>113</x:v>
      </x:c>
      <x:c r="L29" s="145" t="str">
        <x:v>10.142.41.0</x:v>
      </x:c>
      <x:c r="M29" s="145" t="str">
        <x:v>/25</x:v>
      </x:c>
      <x:c r="N29" s="145" t="str">
        <x:v>255.255.255.128</x:v>
      </x:c>
      <x:c r="O29" s="147" t="str">
        <x:v>10.142.41.1</x:v>
      </x:c>
      <x:c r="P29" s="147" t="str">
        <x:v>10.142.41.126</x:v>
      </x:c>
      <x:c r="Q29" s="147" t="str">
        <x:v>10.142.41.127</x:v>
      </x:c>
    </x:row>
    <x:row r="30" ht="21.5">
      <x:c r="A30" s="87"/>
      <x:c r="B30" s="87"/>
      <x:c r="C30" s="88"/>
      <x:c r="D30" s="88"/>
      <x:c r="E30" s="77"/>
      <x:c r="F30" s="79"/>
      <x:c r="G30" s="54"/>
      <x:c r="H30" s="53"/>
      <x:c r="I30" s="144" t="str">
        <x:v>Ventas</x:v>
      </x:c>
      <x:c r="J30" s="145" t="n">
        <x:v>86</x:v>
      </x:c>
      <x:c r="K30" s="146" t="n">
        <x:f>ROUNDUP(J30*1.25,0)</x:f>
        <x:v>108</x:v>
      </x:c>
      <x:c r="L30" s="145" t="str">
        <x:v>10.142.41.128</x:v>
      </x:c>
      <x:c r="M30" s="145" t="str">
        <x:v>/25</x:v>
      </x:c>
      <x:c r="N30" s="145" t="str">
        <x:v>255.255.255.128</x:v>
      </x:c>
      <x:c r="O30" s="147" t="str">
        <x:v>10.142.41.129</x:v>
      </x:c>
      <x:c r="P30" s="147" t="str">
        <x:v>10.142.41.254</x:v>
      </x:c>
      <x:c r="Q30" s="147" t="str">
        <x:v>10.142.41.255</x:v>
      </x:c>
    </x:row>
    <x:row r="31" ht="21.5">
      <x:c r="A31" s="87"/>
      <x:c r="B31" s="87"/>
      <x:c r="C31" s="88"/>
      <x:c r="D31" s="88"/>
      <x:c r="E31" s="77"/>
      <x:c r="F31" s="78"/>
      <x:c r="G31" s="54"/>
      <x:c r="H31" s="53"/>
      <x:c r="I31" s="144" t="str">
        <x:v>Marketing</x:v>
      </x:c>
      <x:c r="J31" s="145" t="n">
        <x:v>42</x:v>
      </x:c>
      <x:c r="K31" s="146" t="n">
        <x:f>ROUNDUP(J31*1.25,0)</x:f>
        <x:v>53</x:v>
      </x:c>
      <x:c r="L31" s="145" t="str">
        <x:v>10.142.42.0</x:v>
      </x:c>
      <x:c r="M31" s="145" t="str">
        <x:v>/26</x:v>
      </x:c>
      <x:c r="N31" s="145" t="str">
        <x:v>255.255.255.192</x:v>
      </x:c>
      <x:c r="O31" s="147" t="str">
        <x:v>10.142.42.1</x:v>
      </x:c>
      <x:c r="P31" s="147" t="str">
        <x:v>10.142.42.62</x:v>
      </x:c>
      <x:c r="Q31" s="147" t="str">
        <x:v>10.142.42.63</x:v>
      </x:c>
    </x:row>
    <x:row r="32" ht="21.5">
      <x:c r="A32" s="87"/>
      <x:c r="B32" s="87"/>
      <x:c r="C32" s="88"/>
      <x:c r="D32" s="88"/>
      <x:c r="E32" s="77"/>
      <x:c r="F32" s="78"/>
      <x:c r="G32" s="54"/>
      <x:c r="H32" s="53"/>
      <x:c r="I32" s="144" t="str">
        <x:v>Finanzas</x:v>
      </x:c>
      <x:c r="J32" s="145" t="n">
        <x:v>36</x:v>
      </x:c>
      <x:c r="K32" s="146" t="n">
        <x:f>ROUNDUP(J32*1.25,0)</x:f>
        <x:v>45</x:v>
      </x:c>
      <x:c r="L32" s="145" t="str">
        <x:v>10.142.42.64</x:v>
      </x:c>
      <x:c r="M32" s="145" t="str">
        <x:v>/26</x:v>
      </x:c>
      <x:c r="N32" s="145" t="str">
        <x:v>255.255.255.192</x:v>
      </x:c>
      <x:c r="O32" s="147" t="str">
        <x:v>10.142.42.65</x:v>
      </x:c>
      <x:c r="P32" s="147" t="str">
        <x:v>10.142.42.126</x:v>
      </x:c>
      <x:c r="Q32" s="147" t="str">
        <x:v>10.142.42.127</x:v>
      </x:c>
    </x:row>
    <x:row r="33" ht="21.5">
      <x:c r="A33" s="87"/>
      <x:c r="B33" s="87"/>
      <x:c r="C33" s="88"/>
      <x:c r="D33" s="88"/>
      <x:c r="E33" s="77"/>
      <x:c r="F33" s="80"/>
      <x:c r="G33" s="54"/>
      <x:c r="H33" s="53"/>
      <x:c r="I33" s="144" t="str">
        <x:v>Wifi Ejecutivos</x:v>
      </x:c>
      <x:c r="J33" s="145" t="n">
        <x:v>29</x:v>
      </x:c>
      <x:c r="K33" s="146" t="n">
        <x:f>ROUNDUP(J33*1.25,0)</x:f>
        <x:v>37</x:v>
      </x:c>
      <x:c r="L33" s="145" t="str">
        <x:v>10.142.42.128</x:v>
      </x:c>
      <x:c r="M33" s="145" t="str">
        <x:v>/26</x:v>
      </x:c>
      <x:c r="N33" s="145" t="str">
        <x:v>255.255.255.192</x:v>
      </x:c>
      <x:c r="O33" s="147" t="str">
        <x:v>10.142.42.129</x:v>
      </x:c>
      <x:c r="P33" s="147" t="str">
        <x:v>10.142.42.190</x:v>
      </x:c>
      <x:c r="Q33" s="147" t="str">
        <x:v>10.142.42.191</x:v>
      </x:c>
    </x:row>
    <x:row r="34" ht="21.5">
      <x:c r="A34" s="78"/>
      <x:c r="B34" s="78"/>
      <x:c r="C34" s="78"/>
      <x:c r="D34" s="81"/>
      <x:c r="E34" s="77"/>
      <x:c r="F34" s="78"/>
      <x:c r="G34" s="54"/>
      <x:c r="H34" s="53"/>
      <x:c r="I34" s="144" t="str">
        <x:v>Wifi Clientes</x:v>
      </x:c>
      <x:c r="J34" s="145" t="n">
        <x:v>14</x:v>
      </x:c>
      <x:c r="K34" s="146" t="n">
        <x:f>ROUNDUP(J34*1.25,0)</x:f>
        <x:v>18</x:v>
      </x:c>
      <x:c r="L34" s="145" t="str">
        <x:v>10.142.42.192</x:v>
      </x:c>
      <x:c r="M34" s="145" t="str">
        <x:v>/27</x:v>
      </x:c>
      <x:c r="N34" s="145" t="str">
        <x:v>255.255.255.224</x:v>
      </x:c>
      <x:c r="O34" s="147" t="str">
        <x:v>10.142.42.193</x:v>
      </x:c>
      <x:c r="P34" s="147" t="str">
        <x:v>10.142.42.222</x:v>
      </x:c>
      <x:c r="Q34" s="147" t="str">
        <x:v>10.142.42.223</x:v>
      </x:c>
    </x:row>
    <x:row r="35" ht="21.5">
      <x:c r="A35" s="78"/>
      <x:c r="B35" s="78"/>
      <x:c r="C35" s="78"/>
      <x:c r="D35" s="81"/>
      <x:c r="E35" s="77"/>
      <x:c r="F35" s="79"/>
      <x:c r="G35" s="54"/>
      <x:c r="I35" s="144" t="str">
        <x:v>Servidores</x:v>
      </x:c>
      <x:c r="J35" s="145" t="n">
        <x:v>10</x:v>
      </x:c>
      <x:c r="K35" s="146" t="n">
        <x:f>ROUNDUP(J35*1.25,0)</x:f>
        <x:v>13</x:v>
      </x:c>
      <x:c r="L35" s="145" t="str">
        <x:v>10.142.42.224</x:v>
      </x:c>
      <x:c r="M35" s="145" t="str">
        <x:v>/28</x:v>
      </x:c>
      <x:c r="N35" s="145" t="str">
        <x:v>255.255.255.240</x:v>
      </x:c>
      <x:c r="O35" s="147" t="str">
        <x:v>10.142.42.225</x:v>
      </x:c>
      <x:c r="P35" s="147" t="str">
        <x:v>10.142.42.238</x:v>
      </x:c>
      <x:c r="Q35" s="147" t="str">
        <x:v>10.142.42.239</x:v>
      </x:c>
    </x:row>
    <x:row r="36" ht="18.5">
      <x:c r="A36" s="78"/>
      <x:c r="B36" s="78"/>
      <x:c r="C36" s="82"/>
      <x:c r="D36" s="77"/>
      <x:c r="E36" s="82"/>
      <x:c r="F36" s="78"/>
      <x:c r="G36" s="50"/>
      <x:c r="I36" s="111"/>
      <x:c r="J36" s="111"/>
      <x:c r="K36" s="111"/>
      <x:c r="L36" s="111"/>
      <x:c r="M36" s="111"/>
      <x:c r="N36" s="111"/>
      <x:c r="O36" s="111"/>
      <x:c r="P36" s="111"/>
      <x:c r="Q36" s="111"/>
    </x:row>
    <x:row r="37" ht="36" customHeight="1">
      <x:c r="A37" s="78"/>
      <x:c r="B37" s="78"/>
      <x:c r="C37" s="81"/>
      <x:c r="D37" s="77"/>
      <x:c r="E37" s="89"/>
      <x:c r="F37" s="78"/>
      <x:c r="I37" s="149" t="str">
        <x:v>TABLA 4 - VLSM de la sucursal La Libertad. Red: 10.142.44.0/22</x:v>
      </x:c>
      <x:c r="J37" s="149" t="str">
        <x:v>TABLA 4 - VLSM de la sucursal La Libertad. Red: 10.142.44.0/22</x:v>
      </x:c>
      <x:c r="K37" s="149" t="str">
        <x:v>TABLA 4 - VLSM de la sucursal La Libertad. Red: 10.142.44.0/22</x:v>
      </x:c>
      <x:c r="L37" s="149" t="str">
        <x:v>TABLA 4 - VLSM de la sucursal La Libertad. Red: 10.142.44.0/22</x:v>
      </x:c>
      <x:c r="M37" s="149" t="str">
        <x:v>TABLA 4 - VLSM de la sucursal La Libertad. Red: 10.142.44.0/22</x:v>
      </x:c>
      <x:c r="N37" s="149" t="str">
        <x:v>TABLA 4 - VLSM de la sucursal La Libertad. Red: 10.142.44.0/22</x:v>
      </x:c>
      <x:c r="O37" s="149" t="str">
        <x:v>TABLA 4 - VLSM de la sucursal La Libertad. Red: 10.142.44.0/22</x:v>
      </x:c>
      <x:c r="P37" s="149" t="str">
        <x:v>TABLA 4 - VLSM de la sucursal La Libertad. Red: 10.142.44.0/22</x:v>
      </x:c>
      <x:c r="Q37" s="149" t="str">
        <x:v>TABLA 4 - VLSM de la sucursal La Libertad. Red: 10.142.44.0/22</x:v>
      </x:c>
    </x:row>
    <x:row r="38" ht="18.5">
      <x:c r="A38" s="78"/>
      <x:c r="B38" s="78"/>
      <x:c r="C38" s="81"/>
      <x:c r="D38" s="77"/>
      <x:c r="E38" s="89"/>
      <x:c r="F38" s="78"/>
      <x:c r="I38" s="111"/>
      <x:c r="J38" s="111"/>
      <x:c r="K38" s="111"/>
      <x:c r="L38" s="111"/>
      <x:c r="M38" s="111"/>
      <x:c r="N38" s="111"/>
      <x:c r="O38" s="111"/>
      <x:c r="P38" s="111"/>
      <x:c r="Q38" s="111"/>
    </x:row>
    <x:row r="39" ht="31">
      <x:c r="A39" s="78"/>
      <x:c r="B39" s="78"/>
      <x:c r="C39" s="82"/>
      <x:c r="D39" s="77"/>
      <x:c r="E39" s="78"/>
      <x:c r="F39" s="78"/>
      <x:c r="I39" s="150" t="s">
        <x:v>48</x:v>
      </x:c>
      <x:c r="J39" s="150" t="s">
        <x:v>49</x:v>
      </x:c>
      <x:c r="K39" s="150" t="s">
        <x:v>41</x:v>
      </x:c>
      <x:c r="L39" s="150" t="s">
        <x:v>42</x:v>
      </x:c>
      <x:c r="M39" s="150" t="s">
        <x:v>43</x:v>
      </x:c>
      <x:c r="N39" s="150" t="s">
        <x:v>44</x:v>
      </x:c>
      <x:c r="O39" s="150" t="s">
        <x:v>45</x:v>
      </x:c>
      <x:c r="P39" s="150" t="s">
        <x:v>46</x:v>
      </x:c>
      <x:c r="Q39" s="150" t="s">
        <x:v>47</x:v>
      </x:c>
    </x:row>
    <x:row r="40" ht="18.5">
      <x:c r="A40" s="78"/>
      <x:c r="B40" s="78"/>
      <x:c r="C40" s="81"/>
      <x:c r="D40" s="77"/>
      <x:c r="E40" s="78"/>
      <x:c r="F40" s="80"/>
      <x:c r="I40" s="151" t="str">
        <x:v>Total usuarios internos</x:v>
      </x:c>
      <x:c r="J40" s="152" t="n">
        <x:v>550</x:v>
      </x:c>
      <x:c r="K40" s="153" t="n">
        <x:f>ROUNDUP(J40*1.25,0)</x:f>
        <x:v>688</x:v>
      </x:c>
      <x:c r="L40" s="152" t="str">
        <x:v>10.142.44.0</x:v>
      </x:c>
      <x:c r="M40" s="152" t="str">
        <x:v>/22</x:v>
      </x:c>
      <x:c r="N40" s="152" t="str">
        <x:v>255.255.252.0</x:v>
      </x:c>
      <x:c r="O40" s="152" t="str">
        <x:v>10.142.44.1</x:v>
      </x:c>
      <x:c r="P40" s="152" t="str">
        <x:v>10.142.47.254</x:v>
      </x:c>
      <x:c r="Q40" s="152" t="str">
        <x:v>10.142.47.255</x:v>
      </x:c>
    </x:row>
    <x:row r="41" ht="18.5">
      <x:c r="A41" s="78"/>
      <x:c r="B41" s="78"/>
      <x:c r="C41" s="81"/>
      <x:c r="D41" s="77"/>
      <x:c r="E41" s="89"/>
      <x:c r="F41" s="78"/>
      <x:c r="I41" s="126" t="str">
        <x:v>Área 1</x:v>
      </x:c>
      <x:c r="J41" s="154"/>
      <x:c r="K41" s="155"/>
      <x:c r="L41" s="154"/>
      <x:c r="M41" s="154"/>
      <x:c r="N41" s="154"/>
      <x:c r="O41" s="154"/>
      <x:c r="P41" s="154"/>
      <x:c r="Q41" s="154"/>
    </x:row>
    <x:row r="42" ht="18.5">
      <x:c r="A42" s="78"/>
      <x:c r="B42" s="78"/>
      <x:c r="C42" s="81"/>
      <x:c r="D42" s="77"/>
      <x:c r="E42" s="78"/>
      <x:c r="F42" s="78"/>
      <x:c r="I42" s="126" t="str">
        <x:v>Área 2</x:v>
      </x:c>
      <x:c r="J42" s="156"/>
      <x:c r="K42" s="155"/>
      <x:c r="L42" s="154"/>
      <x:c r="M42" s="154"/>
      <x:c r="N42" s="154"/>
      <x:c r="O42" s="154"/>
      <x:c r="P42" s="154"/>
      <x:c r="Q42" s="154"/>
    </x:row>
    <x:row r="43" ht="18.5">
      <x:c r="A43" s="78"/>
      <x:c r="B43" s="78"/>
      <x:c r="C43" s="81"/>
      <x:c r="D43" s="77"/>
      <x:c r="E43" s="79"/>
      <x:c r="F43" s="78"/>
      <x:c r="I43" s="126" t="str">
        <x:v>Área 3</x:v>
      </x:c>
      <x:c r="J43" s="156"/>
      <x:c r="K43" s="155"/>
      <x:c r="L43" s="154"/>
      <x:c r="M43" s="154"/>
      <x:c r="N43" s="154"/>
      <x:c r="O43" s="154"/>
      <x:c r="P43" s="154"/>
      <x:c r="Q43" s="154"/>
    </x:row>
    <x:row r="44" ht="18.5">
      <x:c r="A44" s="78"/>
      <x:c r="B44" s="78"/>
      <x:c r="C44" s="82"/>
      <x:c r="D44" s="77"/>
      <x:c r="E44" s="78"/>
      <x:c r="F44" s="83"/>
      <x:c r="I44" s="126" t="str">
        <x:v>Servidores</x:v>
      </x:c>
      <x:c r="J44" s="157" t="n">
        <x:v>4</x:v>
      </x:c>
      <x:c r="K44" s="158" t="n">
        <x:f>ROUNDUP(J44*1.25,0)</x:f>
        <x:v>5</x:v>
      </x:c>
      <x:c r="L44" s="154"/>
      <x:c r="M44" s="154"/>
      <x:c r="N44" s="154"/>
      <x:c r="O44" s="154"/>
      <x:c r="P44" s="154"/>
      <x:c r="Q44" s="154"/>
    </x:row>
    <x:row r="45" ht="18.5">
      <x:c r="A45" s="78"/>
      <x:c r="B45" s="78"/>
      <x:c r="C45" s="81"/>
      <x:c r="D45" s="77"/>
      <x:c r="E45" s="89"/>
      <x:c r="F45" s="84"/>
      <x:c r="I45" s="111"/>
      <x:c r="J45" s="111"/>
      <x:c r="K45" s="111"/>
      <x:c r="L45" s="111"/>
      <x:c r="M45" s="111"/>
      <x:c r="N45" s="111"/>
      <x:c r="O45" s="111"/>
      <x:c r="P45" s="111"/>
      <x:c r="Q45" s="111"/>
    </x:row>
    <x:row r="46" ht="30" customHeight="1">
      <x:c r="A46" s="78"/>
      <x:c r="B46" s="78"/>
      <x:c r="C46" s="81"/>
      <x:c r="D46" s="77"/>
      <x:c r="E46" s="89"/>
      <x:c r="F46" s="79"/>
      <x:c r="I46" s="111" t="str">
        <x:v>TABLA 4 - VLSM de la sucursal Puno. Red: 10.142.48.0/22</x:v>
      </x:c>
      <x:c r="J46" s="111" t="str">
        <x:v>TABLA 4 - VLSM de la sucursal Puno. Red: 10.142.48.0/22</x:v>
      </x:c>
      <x:c r="K46" s="111" t="str">
        <x:v>TABLA 4 - VLSM de la sucursal Puno. Red: 10.142.48.0/22</x:v>
      </x:c>
      <x:c r="L46" s="111" t="str">
        <x:v>TABLA 4 - VLSM de la sucursal Puno. Red: 10.142.48.0/22</x:v>
      </x:c>
      <x:c r="M46" s="111" t="str">
        <x:v>TABLA 4 - VLSM de la sucursal Puno. Red: 10.142.48.0/22</x:v>
      </x:c>
      <x:c r="N46" s="111" t="str">
        <x:v>TABLA 4 - VLSM de la sucursal Puno. Red: 10.142.48.0/22</x:v>
      </x:c>
      <x:c r="O46" s="111" t="str">
        <x:v>TABLA 4 - VLSM de la sucursal Puno. Red: 10.142.48.0/22</x:v>
      </x:c>
      <x:c r="P46" s="111" t="str">
        <x:v>TABLA 4 - VLSM de la sucursal Puno. Red: 10.142.48.0/22</x:v>
      </x:c>
      <x:c r="Q46" s="111" t="str">
        <x:v>TABLA 4 - VLSM de la sucursal Puno. Red: 10.142.48.0/22</x:v>
      </x:c>
    </x:row>
    <x:row r="47" ht="18" customHeight="1">
      <x:c r="A47" s="78"/>
      <x:c r="B47" s="78"/>
      <x:c r="C47" s="90"/>
      <x:c r="D47" s="91"/>
      <x:c r="E47" s="78"/>
      <x:c r="F47" s="85"/>
      <x:c r="I47" s="111"/>
      <x:c r="J47" s="111"/>
      <x:c r="K47" s="111"/>
      <x:c r="L47" s="111"/>
      <x:c r="M47" s="111"/>
      <x:c r="N47" s="111"/>
      <x:c r="O47" s="111"/>
      <x:c r="P47" s="111"/>
      <x:c r="Q47" s="111"/>
    </x:row>
    <x:row r="48" ht="42" customHeight="1">
      <x:c r="A48" s="78"/>
      <x:c r="B48" s="78"/>
      <x:c r="C48" s="78"/>
      <x:c r="D48" s="78"/>
      <x:c r="E48" s="78"/>
      <x:c r="F48" s="83"/>
      <x:c r="I48" s="111" t="s">
        <x:v>48</x:v>
      </x:c>
      <x:c r="J48" s="111" t="s">
        <x:v>49</x:v>
      </x:c>
      <x:c r="K48" s="111" t="s">
        <x:v>41</x:v>
      </x:c>
      <x:c r="L48" s="111" t="s">
        <x:v>42</x:v>
      </x:c>
      <x:c r="M48" s="111" t="s">
        <x:v>43</x:v>
      </x:c>
      <x:c r="N48" s="111" t="s">
        <x:v>44</x:v>
      </x:c>
      <x:c r="O48" s="111" t="s">
        <x:v>45</x:v>
      </x:c>
      <x:c r="P48" s="111" t="s">
        <x:v>46</x:v>
      </x:c>
      <x:c r="Q48" s="111" t="s">
        <x:v>47</x:v>
      </x:c>
    </x:row>
    <x:row r="49" ht="22" customHeight="1">
      <x:c r="A49" s="78"/>
      <x:c r="B49" s="78"/>
      <x:c r="C49" s="78"/>
      <x:c r="D49" s="78"/>
      <x:c r="E49" s="78"/>
      <x:c r="F49" s="78"/>
      <x:c r="I49" s="111" t="str">
        <x:v>Total usuarios internos (dato pendiente)</x:v>
      </x:c>
      <x:c r="J49" s="111"/>
      <x:c r="K49" s="111"/>
      <x:c r="L49" s="111" t="str">
        <x:v>10.142.48.0</x:v>
      </x:c>
      <x:c r="M49" s="111" t="str">
        <x:v>/22</x:v>
      </x:c>
      <x:c r="N49" s="111" t="str">
        <x:v>255.255.252.0</x:v>
      </x:c>
      <x:c r="O49" s="111" t="str">
        <x:v>10.142.48.1</x:v>
      </x:c>
      <x:c r="P49" s="111" t="str">
        <x:v>10.142.51.254</x:v>
      </x:c>
      <x:c r="Q49" s="111" t="str">
        <x:v>10.142.51.255</x:v>
      </x:c>
    </x:row>
    <x:row r="50" ht="22" customHeight="1">
      <x:c r="A50" s="78"/>
      <x:c r="B50" s="78"/>
      <x:c r="C50" s="78"/>
      <x:c r="D50" s="78"/>
      <x:c r="E50" s="79"/>
      <x:c r="F50" s="78"/>
      <x:c r="I50" s="111" t="str">
        <x:v>Área 1</x:v>
      </x:c>
      <x:c r="J50" s="159"/>
      <x:c r="K50" s="159"/>
      <x:c r="L50" s="159"/>
      <x:c r="M50" s="159"/>
      <x:c r="N50" s="159"/>
      <x:c r="O50" s="159"/>
      <x:c r="P50" s="159"/>
      <x:c r="Q50" s="159"/>
    </x:row>
    <x:row r="51" ht="22" customHeight="1">
      <x:c r="A51" s="78"/>
      <x:c r="B51" s="78"/>
      <x:c r="C51" s="78"/>
      <x:c r="D51" s="78"/>
      <x:c r="E51" s="79"/>
      <x:c r="F51" s="78"/>
      <x:c r="I51" s="111" t="str">
        <x:v>Área 2</x:v>
      </x:c>
      <x:c r="J51" s="159"/>
      <x:c r="K51" s="159"/>
      <x:c r="L51" s="159"/>
      <x:c r="M51" s="159"/>
      <x:c r="N51" s="159"/>
      <x:c r="O51" s="159"/>
      <x:c r="P51" s="159"/>
      <x:c r="Q51" s="159"/>
    </x:row>
    <x:row r="52" ht="22" customHeight="1">
      <x:c r="A52" s="78"/>
      <x:c r="B52" s="78"/>
      <x:c r="C52" s="78"/>
      <x:c r="D52" s="78"/>
      <x:c r="E52" s="78"/>
      <x:c r="F52" s="78"/>
      <x:c r="I52" s="111" t="str">
        <x:v>Área 3</x:v>
      </x:c>
      <x:c r="J52" s="159"/>
      <x:c r="K52" s="159"/>
      <x:c r="L52" s="159"/>
      <x:c r="M52" s="159"/>
      <x:c r="N52" s="159"/>
      <x:c r="O52" s="159"/>
      <x:c r="P52" s="159"/>
      <x:c r="Q52" s="159"/>
    </x:row>
    <x:row r="53" ht="22" customHeight="1">
      <x:c r="A53" s="78"/>
      <x:c r="B53" s="78"/>
      <x:c r="C53" s="78"/>
      <x:c r="D53" s="78"/>
      <x:c r="E53" s="78"/>
      <x:c r="F53" s="79"/>
      <x:c r="I53" s="111" t="str">
        <x:v>Servidores</x:v>
      </x:c>
      <x:c r="J53" s="111" t="n">
        <x:v>4</x:v>
      </x:c>
      <x:c r="K53" s="111" t="n">
        <x:f>ROUNDUP(J53*1.25,0)</x:f>
        <x:v>5</x:v>
      </x:c>
      <x:c r="L53" s="159"/>
      <x:c r="M53" s="159"/>
      <x:c r="N53" s="159"/>
      <x:c r="O53" s="159"/>
      <x:c r="P53" s="159"/>
      <x:c r="Q53" s="159"/>
    </x:row>
    <x:row r="54">
      <x:c r="A54" s="78"/>
      <x:c r="B54" s="78"/>
      <x:c r="C54" s="78"/>
      <x:c r="D54" s="78"/>
      <x:c r="E54" s="78"/>
      <x:c r="F54" s="78"/>
      <x:c r="I54" s="111"/>
      <x:c r="J54" s="111"/>
      <x:c r="K54" s="111"/>
      <x:c r="L54" s="111"/>
      <x:c r="M54" s="111"/>
      <x:c r="N54" s="111"/>
      <x:c r="O54" s="111"/>
      <x:c r="P54" s="111"/>
      <x:c r="Q54" s="111"/>
    </x:row>
    <x:row r="55" ht="30" customHeight="1">
      <x:c r="A55" s="78"/>
      <x:c r="B55" s="78"/>
      <x:c r="C55" s="78"/>
      <x:c r="D55" s="78"/>
      <x:c r="E55" s="78"/>
      <x:c r="F55" s="86"/>
      <x:c r="I55" s="111" t="str">
        <x:v>TABLA 4 - VLSM de la sucursal Ica. Red: 10.142.52.0/22</x:v>
      </x:c>
      <x:c r="J55" s="111" t="str">
        <x:v>TABLA 4 - VLSM de la sucursal Ica. Red: 10.142.52.0/22</x:v>
      </x:c>
      <x:c r="K55" s="111" t="str">
        <x:v>TABLA 4 - VLSM de la sucursal Ica. Red: 10.142.52.0/22</x:v>
      </x:c>
      <x:c r="L55" s="111" t="str">
        <x:v>TABLA 4 - VLSM de la sucursal Ica. Red: 10.142.52.0/22</x:v>
      </x:c>
      <x:c r="M55" s="111" t="str">
        <x:v>TABLA 4 - VLSM de la sucursal Ica. Red: 10.142.52.0/22</x:v>
      </x:c>
      <x:c r="N55" s="111" t="str">
        <x:v>TABLA 4 - VLSM de la sucursal Ica. Red: 10.142.52.0/22</x:v>
      </x:c>
      <x:c r="O55" s="111" t="str">
        <x:v>TABLA 4 - VLSM de la sucursal Ica. Red: 10.142.52.0/22</x:v>
      </x:c>
      <x:c r="P55" s="111" t="str">
        <x:v>TABLA 4 - VLSM de la sucursal Ica. Red: 10.142.52.0/22</x:v>
      </x:c>
      <x:c r="Q55" s="111" t="str">
        <x:v>TABLA 4 - VLSM de la sucursal Ica. Red: 10.142.52.0/22</x:v>
      </x:c>
    </x:row>
    <x:row r="56" ht="18" customHeight="1">
      <x:c r="E56" s="50"/>
      <x:c r="F56" s="51"/>
      <x:c r="I56" s="111"/>
      <x:c r="J56" s="111"/>
      <x:c r="K56" s="111"/>
      <x:c r="L56" s="111"/>
      <x:c r="M56" s="111"/>
      <x:c r="N56" s="111"/>
      <x:c r="O56" s="111"/>
      <x:c r="P56" s="111"/>
      <x:c r="Q56" s="111"/>
    </x:row>
    <x:row r="57" ht="42" customHeight="1">
      <x:c r="E57" s="50"/>
      <x:c r="F57" s="50"/>
      <x:c r="I57" s="111" t="s">
        <x:v>48</x:v>
      </x:c>
      <x:c r="J57" s="111" t="s">
        <x:v>49</x:v>
      </x:c>
      <x:c r="K57" s="111" t="s">
        <x:v>41</x:v>
      </x:c>
      <x:c r="L57" s="111" t="s">
        <x:v>42</x:v>
      </x:c>
      <x:c r="M57" s="111" t="s">
        <x:v>43</x:v>
      </x:c>
      <x:c r="N57" s="111" t="s">
        <x:v>44</x:v>
      </x:c>
      <x:c r="O57" s="111" t="s">
        <x:v>45</x:v>
      </x:c>
      <x:c r="P57" s="111" t="s">
        <x:v>46</x:v>
      </x:c>
      <x:c r="Q57" s="111" t="s">
        <x:v>47</x:v>
      </x:c>
    </x:row>
    <x:row r="58" ht="22" customHeight="1">
      <x:c r="E58" s="50"/>
      <x:c r="F58" s="52"/>
      <x:c r="I58" s="111" t="str">
        <x:v>Total usuarios internos (dato pendiente)</x:v>
      </x:c>
      <x:c r="J58" s="111"/>
      <x:c r="K58" s="111"/>
      <x:c r="L58" s="111" t="str">
        <x:v>10.142.52.0</x:v>
      </x:c>
      <x:c r="M58" s="111" t="str">
        <x:v>/22</x:v>
      </x:c>
      <x:c r="N58" s="111" t="str">
        <x:v>255.255.252.0</x:v>
      </x:c>
      <x:c r="O58" s="111" t="str">
        <x:v>10.142.52.1</x:v>
      </x:c>
      <x:c r="P58" s="111" t="str">
        <x:v>10.142.55.254</x:v>
      </x:c>
      <x:c r="Q58" s="111" t="str">
        <x:v>10.142.55.255</x:v>
      </x:c>
    </x:row>
    <x:row r="59" ht="22" customHeight="1">
      <x:c r="I59" s="111" t="str">
        <x:v>Área 1</x:v>
      </x:c>
      <x:c r="J59" s="159"/>
      <x:c r="K59" s="159"/>
      <x:c r="L59" s="159"/>
      <x:c r="M59" s="159"/>
      <x:c r="N59" s="159"/>
      <x:c r="O59" s="159"/>
      <x:c r="P59" s="159"/>
      <x:c r="Q59" s="159"/>
    </x:row>
    <x:row r="60" ht="22" customHeight="1">
      <x:c r="I60" s="111" t="str">
        <x:v>Área 2</x:v>
      </x:c>
      <x:c r="J60" s="159"/>
      <x:c r="K60" s="159"/>
      <x:c r="L60" s="159"/>
      <x:c r="M60" s="159"/>
      <x:c r="N60" s="159"/>
      <x:c r="O60" s="159"/>
      <x:c r="P60" s="159"/>
      <x:c r="Q60" s="159"/>
    </x:row>
    <x:row r="61" ht="22" customHeight="1">
      <x:c r="I61" s="111" t="str">
        <x:v>Área 3</x:v>
      </x:c>
      <x:c r="J61" s="159"/>
      <x:c r="K61" s="159"/>
      <x:c r="L61" s="159"/>
      <x:c r="M61" s="159"/>
      <x:c r="N61" s="159"/>
      <x:c r="O61" s="159"/>
      <x:c r="P61" s="159"/>
      <x:c r="Q61" s="159"/>
    </x:row>
    <x:row r="62" ht="22" customHeight="1">
      <x:c r="I62" s="111" t="str">
        <x:v>Servidores</x:v>
      </x:c>
      <x:c r="J62" s="111" t="n">
        <x:v>4</x:v>
      </x:c>
      <x:c r="K62" s="111" t="n">
        <x:f>ROUNDUP(J62*1.25,0)</x:f>
        <x:v>5</x:v>
      </x:c>
      <x:c r="L62" s="159"/>
      <x:c r="M62" s="159"/>
      <x:c r="N62" s="159"/>
      <x:c r="O62" s="159"/>
      <x:c r="P62" s="159"/>
      <x:c r="Q62" s="159"/>
    </x:row>
    <x:row r="63">
      <x:c r="I63" s="111"/>
      <x:c r="J63" s="111"/>
      <x:c r="K63" s="111"/>
      <x:c r="L63" s="111"/>
      <x:c r="M63" s="111"/>
      <x:c r="N63" s="111"/>
      <x:c r="O63" s="111"/>
      <x:c r="P63" s="111"/>
      <x:c r="Q63" s="111"/>
    </x:row>
    <x:row r="64" ht="30" customHeight="1">
      <x:c r="I64" s="111" t="str">
        <x:v>TABLA 4 - VLSM de la sucursal Huánuco. Red: 10.142.56.0/22</x:v>
      </x:c>
      <x:c r="J64" s="111" t="str">
        <x:v>TABLA 4 - VLSM de la sucursal Huánuco. Red: 10.142.56.0/22</x:v>
      </x:c>
      <x:c r="K64" s="111" t="str">
        <x:v>TABLA 4 - VLSM de la sucursal Huánuco. Red: 10.142.56.0/22</x:v>
      </x:c>
      <x:c r="L64" s="111" t="str">
        <x:v>TABLA 4 - VLSM de la sucursal Huánuco. Red: 10.142.56.0/22</x:v>
      </x:c>
      <x:c r="M64" s="111" t="str">
        <x:v>TABLA 4 - VLSM de la sucursal Huánuco. Red: 10.142.56.0/22</x:v>
      </x:c>
      <x:c r="N64" s="111" t="str">
        <x:v>TABLA 4 - VLSM de la sucursal Huánuco. Red: 10.142.56.0/22</x:v>
      </x:c>
      <x:c r="O64" s="111" t="str">
        <x:v>TABLA 4 - VLSM de la sucursal Huánuco. Red: 10.142.56.0/22</x:v>
      </x:c>
      <x:c r="P64" s="111" t="str">
        <x:v>TABLA 4 - VLSM de la sucursal Huánuco. Red: 10.142.56.0/22</x:v>
      </x:c>
      <x:c r="Q64" s="111" t="str">
        <x:v>TABLA 4 - VLSM de la sucursal Huánuco. Red: 10.142.56.0/22</x:v>
      </x:c>
    </x:row>
    <x:row r="65" ht="18" customHeight="1">
      <x:c r="I65" s="111"/>
      <x:c r="J65" s="111"/>
      <x:c r="K65" s="111"/>
      <x:c r="L65" s="111"/>
      <x:c r="M65" s="111"/>
      <x:c r="N65" s="111"/>
      <x:c r="O65" s="111"/>
      <x:c r="P65" s="111"/>
      <x:c r="Q65" s="111"/>
    </x:row>
    <x:row r="66" ht="42" customHeight="1">
      <x:c r="I66" s="111" t="s">
        <x:v>48</x:v>
      </x:c>
      <x:c r="J66" s="111" t="s">
        <x:v>49</x:v>
      </x:c>
      <x:c r="K66" s="111" t="s">
        <x:v>41</x:v>
      </x:c>
      <x:c r="L66" s="111" t="s">
        <x:v>42</x:v>
      </x:c>
      <x:c r="M66" s="111" t="s">
        <x:v>43</x:v>
      </x:c>
      <x:c r="N66" s="111" t="s">
        <x:v>44</x:v>
      </x:c>
      <x:c r="O66" s="111" t="s">
        <x:v>45</x:v>
      </x:c>
      <x:c r="P66" s="111" t="s">
        <x:v>46</x:v>
      </x:c>
      <x:c r="Q66" s="111" t="s">
        <x:v>47</x:v>
      </x:c>
    </x:row>
    <x:row r="67" ht="22" customHeight="1">
      <x:c r="I67" s="111" t="str">
        <x:v>Total usuarios internos (dato pendiente)</x:v>
      </x:c>
      <x:c r="J67" s="111"/>
      <x:c r="K67" s="111"/>
      <x:c r="L67" s="111" t="str">
        <x:v>10.142.56.0</x:v>
      </x:c>
      <x:c r="M67" s="111" t="str">
        <x:v>/22</x:v>
      </x:c>
      <x:c r="N67" s="111" t="str">
        <x:v>255.255.252.0</x:v>
      </x:c>
      <x:c r="O67" s="111" t="str">
        <x:v>10.142.56.1</x:v>
      </x:c>
      <x:c r="P67" s="111" t="str">
        <x:v>10.142.59.254</x:v>
      </x:c>
      <x:c r="Q67" s="111" t="str">
        <x:v>10.142.59.255</x:v>
      </x:c>
    </x:row>
    <x:row r="68" ht="22" customHeight="1">
      <x:c r="I68" s="111" t="str">
        <x:v>Área 1</x:v>
      </x:c>
      <x:c r="J68" s="159"/>
      <x:c r="K68" s="159"/>
      <x:c r="L68" s="159"/>
      <x:c r="M68" s="159"/>
      <x:c r="N68" s="159"/>
      <x:c r="O68" s="159"/>
      <x:c r="P68" s="159"/>
      <x:c r="Q68" s="159"/>
    </x:row>
    <x:row r="69" ht="22" customHeight="1">
      <x:c r="I69" s="111" t="str">
        <x:v>Área 2</x:v>
      </x:c>
      <x:c r="J69" s="159"/>
      <x:c r="K69" s="159"/>
      <x:c r="L69" s="159"/>
      <x:c r="M69" s="159"/>
      <x:c r="N69" s="159"/>
      <x:c r="O69" s="159"/>
      <x:c r="P69" s="159"/>
      <x:c r="Q69" s="159"/>
    </x:row>
    <x:row r="70" ht="22" customHeight="1">
      <x:c r="I70" s="111" t="str">
        <x:v>Área 3</x:v>
      </x:c>
      <x:c r="J70" s="159"/>
      <x:c r="K70" s="159"/>
      <x:c r="L70" s="159"/>
      <x:c r="M70" s="159"/>
      <x:c r="N70" s="159"/>
      <x:c r="O70" s="159"/>
      <x:c r="P70" s="159"/>
      <x:c r="Q70" s="159"/>
    </x:row>
    <x:row r="71" ht="22" customHeight="1">
      <x:c r="I71" s="111" t="str">
        <x:v>Servidores</x:v>
      </x:c>
      <x:c r="J71" s="111" t="n">
        <x:v>4</x:v>
      </x:c>
      <x:c r="K71" s="111" t="n">
        <x:f>ROUNDUP(J71*1.25,0)</x:f>
        <x:v>5</x:v>
      </x:c>
      <x:c r="L71" s="159"/>
      <x:c r="M71" s="159"/>
      <x:c r="N71" s="159"/>
      <x:c r="O71" s="159"/>
      <x:c r="P71" s="159"/>
      <x:c r="Q71" s="159"/>
    </x:row>
  </x:sheetData>
  <x:mergeCells>
    <x:mergeCell ref="I25:Q25"/>
    <x:mergeCell ref="I37:Q37"/>
    <x:mergeCell ref="I2:P2"/>
    <x:mergeCell ref="I3:P3"/>
    <x:mergeCell ref="A4:A11"/>
    <x:mergeCell ref="A12:A22"/>
    <x:mergeCell ref="C4:C11"/>
    <x:mergeCell ref="C12:C22"/>
    <x:mergeCell ref="I14:P14"/>
    <x:mergeCell ref="I46:Q46"/>
    <x:mergeCell ref="I55:Q55"/>
    <x:mergeCell ref="I64:Q64"/>
  </x:mergeCells>
  <x:pageMargins left="0.7" right="0.7" top="0.75" bottom="0.75" header="0.3" footer="0.3"/>
</x:worksheet>
</file>